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Documents\COMPARATIVO INSUMOS\2026\"/>
    </mc:Choice>
  </mc:AlternateContent>
  <xr:revisionPtr revIDLastSave="0" documentId="13_ncr:1_{E96DF27C-0C26-4317-A065-884108F04ADD}" xr6:coauthVersionLast="47" xr6:coauthVersionMax="47" xr10:uidLastSave="{00000000-0000-0000-0000-000000000000}"/>
  <bookViews>
    <workbookView xWindow="-96" yWindow="-96" windowWidth="23232" windowHeight="12432" xr2:uid="{B30A184C-AA05-46F7-9146-FC74B47FB714}"/>
  </bookViews>
  <sheets>
    <sheet name="COMPARATIVO" sheetId="1" r:id="rId1"/>
    <sheet name="REQUISICIÓN" sheetId="2" r:id="rId2"/>
    <sheet name="Hoja1" sheetId="3" r:id="rId3"/>
  </sheets>
  <definedNames>
    <definedName name="_xlnm._FilterDatabase" localSheetId="0" hidden="1">COMPARATIVO!$B$7:$AB$252</definedName>
    <definedName name="_xlnm._FilterDatabase" localSheetId="1" hidden="1">REQUISICIÓN!$A$8:$K$12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 l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K82" i="1"/>
  <c r="H82" i="1"/>
  <c r="F162" i="1"/>
  <c r="F159" i="1"/>
  <c r="F165" i="1"/>
  <c r="F95" i="1"/>
  <c r="F94" i="1"/>
  <c r="F216" i="1"/>
  <c r="F244" i="1"/>
  <c r="F240" i="1"/>
  <c r="F242" i="1"/>
  <c r="F29" i="1"/>
  <c r="F13" i="1"/>
  <c r="F252" i="1"/>
  <c r="F251" i="1"/>
  <c r="F234" i="1"/>
  <c r="F92" i="1"/>
  <c r="K79" i="1"/>
  <c r="K81" i="1"/>
  <c r="K9" i="1"/>
  <c r="F33" i="1"/>
  <c r="K115" i="1"/>
  <c r="F231" i="1"/>
  <c r="F222" i="1"/>
  <c r="F212" i="1"/>
  <c r="F205" i="1"/>
  <c r="F199" i="1"/>
  <c r="F69" i="1"/>
  <c r="K132" i="1"/>
  <c r="F157" i="1"/>
  <c r="F138" i="1"/>
  <c r="F119" i="1"/>
  <c r="F124" i="1"/>
  <c r="F93" i="1"/>
  <c r="K41" i="1"/>
  <c r="K77" i="1"/>
  <c r="F18" i="1"/>
  <c r="F49" i="1"/>
  <c r="F129" i="1"/>
  <c r="F230" i="1"/>
  <c r="F250" i="1"/>
  <c r="F9" i="1"/>
  <c r="F10" i="1"/>
  <c r="F11" i="1"/>
  <c r="F12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20" i="1"/>
  <c r="F121" i="1"/>
  <c r="F122" i="1"/>
  <c r="F123" i="1"/>
  <c r="F125" i="1"/>
  <c r="F126" i="1"/>
  <c r="F127" i="1"/>
  <c r="F128" i="1"/>
  <c r="F130" i="1"/>
  <c r="F131" i="1"/>
  <c r="F132" i="1"/>
  <c r="F133" i="1"/>
  <c r="F134" i="1"/>
  <c r="F135" i="1"/>
  <c r="F136" i="1"/>
  <c r="F137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8" i="1"/>
  <c r="F160" i="1"/>
  <c r="F161" i="1"/>
  <c r="F163" i="1"/>
  <c r="F164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200" i="1"/>
  <c r="F201" i="1"/>
  <c r="F202" i="1"/>
  <c r="F203" i="1"/>
  <c r="F204" i="1"/>
  <c r="F206" i="1"/>
  <c r="F207" i="1"/>
  <c r="F208" i="1"/>
  <c r="F209" i="1"/>
  <c r="F210" i="1"/>
  <c r="F211" i="1"/>
  <c r="F213" i="1"/>
  <c r="F214" i="1"/>
  <c r="F215" i="1"/>
  <c r="F217" i="1"/>
  <c r="F218" i="1"/>
  <c r="F219" i="1"/>
  <c r="F220" i="1"/>
  <c r="F221" i="1"/>
  <c r="F223" i="1"/>
  <c r="F224" i="1"/>
  <c r="F225" i="1"/>
  <c r="F226" i="1"/>
  <c r="F227" i="1"/>
  <c r="F228" i="1"/>
  <c r="F229" i="1"/>
  <c r="F232" i="1"/>
  <c r="F233" i="1"/>
  <c r="F235" i="1"/>
  <c r="F236" i="1"/>
  <c r="F237" i="1"/>
  <c r="F238" i="1"/>
  <c r="F239" i="1"/>
  <c r="F241" i="1"/>
  <c r="F243" i="1"/>
  <c r="F245" i="1"/>
  <c r="F246" i="1"/>
  <c r="F247" i="1"/>
  <c r="F8" i="1"/>
  <c r="G77" i="1" l="1"/>
  <c r="H80" i="1" l="1"/>
  <c r="F249" i="1" l="1"/>
  <c r="W8" i="1" l="1"/>
  <c r="G226" i="1"/>
  <c r="G191" i="1"/>
  <c r="G24" i="1"/>
  <c r="H75" i="1"/>
  <c r="J75" i="1" l="1"/>
  <c r="S83" i="1" l="1"/>
  <c r="J235" i="1"/>
  <c r="H171" i="1"/>
  <c r="H160" i="1"/>
  <c r="H168" i="1" l="1"/>
  <c r="J99" i="1" l="1"/>
  <c r="T153" i="1" l="1"/>
  <c r="S146" i="1" l="1"/>
  <c r="S145" i="1"/>
  <c r="H196" i="1" l="1"/>
  <c r="AB21" i="1" l="1"/>
  <c r="AB24" i="1"/>
  <c r="AB59" i="1"/>
  <c r="AB132" i="1"/>
  <c r="AB141" i="1"/>
  <c r="AB146" i="1"/>
  <c r="AB145" i="1"/>
  <c r="AB196" i="1"/>
  <c r="AB218" i="1"/>
  <c r="AB229" i="1"/>
  <c r="J68" i="1" l="1"/>
  <c r="H68" i="1"/>
  <c r="J67" i="1" l="1"/>
  <c r="H62" i="1" l="1"/>
  <c r="P81" i="1" l="1"/>
  <c r="H81" i="1"/>
  <c r="J81" i="1"/>
  <c r="J125" i="1"/>
  <c r="H163" i="1"/>
  <c r="H161" i="1"/>
  <c r="H156" i="1"/>
  <c r="P79" i="1" l="1"/>
  <c r="H166" i="1" l="1"/>
  <c r="H170" i="1"/>
  <c r="O243" i="1"/>
  <c r="O241" i="1"/>
  <c r="O239" i="1"/>
  <c r="O149" i="1"/>
  <c r="H83" i="1" l="1"/>
  <c r="J194" i="1" l="1"/>
  <c r="H194" i="1"/>
  <c r="V8" i="1"/>
  <c r="J149" i="1"/>
  <c r="J243" i="1"/>
  <c r="J239" i="1"/>
  <c r="H120" i="1" l="1"/>
</calcChain>
</file>

<file path=xl/sharedStrings.xml><?xml version="1.0" encoding="utf-8"?>
<sst xmlns="http://schemas.openxmlformats.org/spreadsheetml/2006/main" count="659" uniqueCount="391">
  <si>
    <t>ID</t>
  </si>
  <si>
    <t>Catalogo</t>
  </si>
  <si>
    <t>Cantidad</t>
  </si>
  <si>
    <t>UMC</t>
  </si>
  <si>
    <t>PIEZA</t>
  </si>
  <si>
    <t>GUÍA METÁLICA ESTERIL ADULTO</t>
  </si>
  <si>
    <t>MASCARILLA LARINGEA 4FR</t>
  </si>
  <si>
    <t>MASCARILLA LARINGEA 5FR</t>
  </si>
  <si>
    <t>CONECTOR GRUESO NO ESTERIL SIMS</t>
  </si>
  <si>
    <t>CAJA C/100</t>
  </si>
  <si>
    <t>CUBREBOCAS MCA. AMBIDERM</t>
  </si>
  <si>
    <t>CAJA C/50</t>
  </si>
  <si>
    <t>FLEBOTEK NORMOGOTERO S/AGUJA REF. 4000489 MCA. PISA</t>
  </si>
  <si>
    <t>EXTENSIÓN PARA OXÍGENO 1.50MT</t>
  </si>
  <si>
    <t>PUNTAS NASALES  1.80MT</t>
  </si>
  <si>
    <t>MICROPORE 2" REF. 15302 MCA. 3M</t>
  </si>
  <si>
    <t>TRANSPORE 2" REF. 15272 MCA. 3M</t>
  </si>
  <si>
    <t>CAJA C/12</t>
  </si>
  <si>
    <t>TORNIQUETE LIGADURA P/TOMA DE MUESTRA ROLLO</t>
  </si>
  <si>
    <t>GEL P/ULTRASONIDO MCA. BORDSON</t>
  </si>
  <si>
    <t>COMPARATIVO INSUMOS</t>
  </si>
  <si>
    <t>SABANA DE CAJÓN 86X210CM MCA. AMBIDERM</t>
  </si>
  <si>
    <t>MICROCLAVE CLEAR C/EXT 13CM MICRO 2</t>
  </si>
  <si>
    <t xml:space="preserve">REF. 4023633 </t>
  </si>
  <si>
    <t>REQUI</t>
  </si>
  <si>
    <t>GASA ESTERIL 20X8CM  MCA. PROTEC C/200</t>
  </si>
  <si>
    <t xml:space="preserve">JABÓN QUIRURGICO ANTIBENZIL 1 L </t>
  </si>
  <si>
    <t xml:space="preserve">CINTA DE LINO ESTERIL </t>
  </si>
  <si>
    <t xml:space="preserve">CONECTOR DE SIMS DELGADO </t>
  </si>
  <si>
    <t xml:space="preserve">INSYTE #14 </t>
  </si>
  <si>
    <t xml:space="preserve">SUJETADOR DE SONDA NASOGASTRICA </t>
  </si>
  <si>
    <t>SOLUCIÓN GELAFUNDIN 500ML</t>
  </si>
  <si>
    <t>Proveedor:</t>
  </si>
  <si>
    <t>Fecha de elaboración:</t>
  </si>
  <si>
    <t>Tiempo de entrega:</t>
  </si>
  <si>
    <t>Lugar:</t>
  </si>
  <si>
    <t>Condiciones de pago:</t>
  </si>
  <si>
    <t>Folio:</t>
  </si>
  <si>
    <t>Partida</t>
  </si>
  <si>
    <t>Informaciòn Tècnica</t>
  </si>
  <si>
    <t>Notas:</t>
  </si>
  <si>
    <t>1.- Todo tipo de compra debera solicitarse mediante este formato.</t>
  </si>
  <si>
    <t>2.- Este formato representa la necesidad de la compra de cualquier insumo o material de curaciòn.</t>
  </si>
  <si>
    <t xml:space="preserve">3.- Cualquier compra  quedara sustenda mediante un cuadro comparativo que sera anexado y entregado al area solicitante, esto como parte de un </t>
  </si>
  <si>
    <t>seguimiento a su compra.</t>
  </si>
  <si>
    <t>Nombre y Firma</t>
  </si>
  <si>
    <t>Solicitante</t>
  </si>
  <si>
    <t>LUBRICAINA 135G</t>
  </si>
  <si>
    <t>34-ALTAMIRANO</t>
  </si>
  <si>
    <t>CODIGO DE BARRAS</t>
  </si>
  <si>
    <t xml:space="preserve">BATA P/PACIENTE S/MANGAS </t>
  </si>
  <si>
    <t>PAQ C/10</t>
  </si>
  <si>
    <t>LEMHIS</t>
  </si>
  <si>
    <t>INSYTE 22GX1" (25MM) MCA.  BD (AZUL)</t>
  </si>
  <si>
    <t>LINEA INFUSION PARA BOMBA VL ST02</t>
  </si>
  <si>
    <t>LINEA VOLUMAT ONCOLOGIA VL ON70</t>
  </si>
  <si>
    <t>LLAVE DE 3 VÍAS C/EXTENSIÓN  MCA. IPM</t>
  </si>
  <si>
    <t>PROVEEDOR</t>
  </si>
  <si>
    <t>OC</t>
  </si>
  <si>
    <t>TOTAL</t>
  </si>
  <si>
    <t>NOTA</t>
  </si>
  <si>
    <t>ESTATUS</t>
  </si>
  <si>
    <t>REMOVEDOR DE ADHESIVO EN TOALLA REF. 7760 MCA. HOLLISTER C/50</t>
  </si>
  <si>
    <t>TOALLITA PROTECTORA ADAPT C/50</t>
  </si>
  <si>
    <t>MCC FARMA 15 día</t>
  </si>
  <si>
    <t>SALUCOM contado</t>
  </si>
  <si>
    <t>FOREFRONT 30 días</t>
  </si>
  <si>
    <t>ACUMED 30 días</t>
  </si>
  <si>
    <t>ALBERTO OSORIO 30 días</t>
  </si>
  <si>
    <t>RESPIRADOR  DE CARA COMPLETA</t>
  </si>
  <si>
    <t>INSYTE 24GX.75 (19MM) MCA.  BD (AMARILLO)</t>
  </si>
  <si>
    <t>AFER2420</t>
  </si>
  <si>
    <t>CANTIDAD</t>
  </si>
  <si>
    <t>DESCRIPCIÓN</t>
  </si>
  <si>
    <t>Caja c/50</t>
  </si>
  <si>
    <t>OSMOROL 250 ML</t>
  </si>
  <si>
    <t xml:space="preserve">TOALLA HUMEDA DESINFECTANTE SUPERFICIES </t>
  </si>
  <si>
    <t>CLORURO DE SODIO 0.9% 100ML</t>
  </si>
  <si>
    <t>CLORURO DE SODIO 0.9% 50ML</t>
  </si>
  <si>
    <t>JERINGA S/A  5ML  MCA. BD C/100</t>
  </si>
  <si>
    <t>HIPAFIX 10CMX5MT REF. 7144204 MCA. BSN</t>
  </si>
  <si>
    <t>Unidad de Medida</t>
  </si>
  <si>
    <t>Requi</t>
  </si>
  <si>
    <t xml:space="preserve">Descripción </t>
  </si>
  <si>
    <t xml:space="preserve">REQUISICIÓN DE COMPRA 
</t>
  </si>
  <si>
    <t>TAPON GIRATEX</t>
  </si>
  <si>
    <t>LENTES DE SEGURIDAD</t>
  </si>
  <si>
    <t>CAJA</t>
  </si>
  <si>
    <t>TERMOMETRO DIGITAL</t>
  </si>
  <si>
    <t>GEL  ANTIBACTERIAL 1L</t>
  </si>
  <si>
    <t>EQUIPO METRISET PARA VOLUMENES MEDIDOS 100ML</t>
  </si>
  <si>
    <t>CAJA C/6</t>
  </si>
  <si>
    <t>CAJA C/40</t>
  </si>
  <si>
    <t>VL ST02</t>
  </si>
  <si>
    <t>VL ON70</t>
  </si>
  <si>
    <t>AFER1651</t>
  </si>
  <si>
    <t>JERINGA S/A  50ML  MCA. BD C/40</t>
  </si>
  <si>
    <t>CONECTOR LIBRE DE AGUJA 2 VÍAS</t>
  </si>
  <si>
    <t>JALEA LUBRICANTE K-Y 50GRS</t>
  </si>
  <si>
    <t>K-729-2</t>
  </si>
  <si>
    <t>BOLSA DE ORINA KENGUARD 2LT</t>
  </si>
  <si>
    <t>MICROGOTERO SIN AGUJA MCA. IPM</t>
  </si>
  <si>
    <t>CLORURO DE SODIO 0.9% 500ML</t>
  </si>
  <si>
    <t>CAJA C/24</t>
  </si>
  <si>
    <t>AFER2225</t>
  </si>
  <si>
    <t>NADRO 30 días</t>
  </si>
  <si>
    <t>Sala de infusión</t>
  </si>
  <si>
    <t>Farmacia</t>
  </si>
  <si>
    <t>Carro rojo</t>
  </si>
  <si>
    <t xml:space="preserve">Carro rojo </t>
  </si>
  <si>
    <t>Carro rojo / Farmacia</t>
  </si>
  <si>
    <t>Caja de reacción</t>
  </si>
  <si>
    <t>CATALOGO/ REFERENCIA</t>
  </si>
  <si>
    <t>BOLSA AUTOINFLABLE DE REANIMACIÓN MCA. AMBU</t>
  </si>
  <si>
    <t>AFER1451</t>
  </si>
  <si>
    <t xml:space="preserve">AFER2019 </t>
  </si>
  <si>
    <t>AFER1825</t>
  </si>
  <si>
    <t>FIJADOR DE SONDA FOLEY STATLOK</t>
  </si>
  <si>
    <t>ROLLO DE PAPEL TERMICO P/DESFIBRILADOR</t>
  </si>
  <si>
    <t xml:space="preserve">TUBO DE EXTENSIÓN P/VENOCLISIS </t>
  </si>
  <si>
    <t>AFER1445</t>
  </si>
  <si>
    <t>K-351</t>
  </si>
  <si>
    <t>TOR600</t>
  </si>
  <si>
    <t>NG0120</t>
  </si>
  <si>
    <t>FIJADOR DE SONDA NASOGASTRICA MCA. BARD</t>
  </si>
  <si>
    <t>CÁNULA DE GUEDEL 5FR MCA. BICAKCILAR</t>
  </si>
  <si>
    <t>CÁNULA DE GUEDEL 6FR MCA. BICAKCILAR</t>
  </si>
  <si>
    <t>CÁNULA ENDOTRAQUEAL 7 FR C/GLOBO MCA. BICAKCILAR</t>
  </si>
  <si>
    <t>CÁNULA ENDOTRAQUEAL 7.5 FR C/GLOBO MCA. BICAKCILAR</t>
  </si>
  <si>
    <t>CÁNULA ENDOTRAQUEAL 8 FR C/GLOBO MCA. BICAKCILAR</t>
  </si>
  <si>
    <t>CÁNULA ENDOTRAQUEAL 8.5 FR. C/GLOBO MCA. BICAKCILAR</t>
  </si>
  <si>
    <t>BATA IMPERMEABLE DESECHABLE C/MANGA MCA. MORIAHT</t>
  </si>
  <si>
    <t>BATA P/PACIENTE MANGA CORTA C/10 MCA. MORIAHT</t>
  </si>
  <si>
    <t>CAMPO ESTERIL 40X40CM  MCA. MORIAHT</t>
  </si>
  <si>
    <t>IPM2005</t>
  </si>
  <si>
    <t>SAL8924</t>
  </si>
  <si>
    <t>MASCARILLA P/NEBULIZAR ADULTO MCA. SALTERLABS</t>
  </si>
  <si>
    <t>MASCARILLA RESERVORIO PARA OXÍGENO ADULTO MCA. HUDSON</t>
  </si>
  <si>
    <t>HUD1060</t>
  </si>
  <si>
    <t>16263M</t>
  </si>
  <si>
    <t>BANDITA ADHESIVA REDONDA MCA. JALOMA C/100</t>
  </si>
  <si>
    <t>GUANTE ESTERIL LATEX CH MCA. AMBIDERM C/100</t>
  </si>
  <si>
    <t>GUANTE NITRILO M MCA. AMBIDERM C/100</t>
  </si>
  <si>
    <t>GUANTE NITRILO CH MCA. AMBIDERM C/100</t>
  </si>
  <si>
    <t>GUANTE NO ESTERIL LATEX CH MCA. AMBIDERM C/100</t>
  </si>
  <si>
    <t>BANDITA ADHESIVA REDONDA MCA. BSN C/100</t>
  </si>
  <si>
    <t>INTROCAN CERTO PUR 24GX3/4 C/50 MCA. B BRAUN</t>
  </si>
  <si>
    <t>GUANTE NO ESTERIL LATEX M MCA. AMBIDERM C/100</t>
  </si>
  <si>
    <t>MORIAHT</t>
  </si>
  <si>
    <t>SE AGREGA EN OC 194</t>
  </si>
  <si>
    <t>WALMART</t>
  </si>
  <si>
    <t>CAJA C/25</t>
  </si>
  <si>
    <t>AH-1838</t>
  </si>
  <si>
    <t>AH-2518</t>
  </si>
  <si>
    <t>AGUJA HIPODERMICA 25GX5/8 MCA. NIPRO (NARANJA) C/100</t>
  </si>
  <si>
    <t>BATA P/CIRUJANO MCA. AMBIDERM NO ESTERIL</t>
  </si>
  <si>
    <t>CÁNULA DE GUEDEL 5FR MCA. COVIDIEN</t>
  </si>
  <si>
    <t>CÁNULA DE GUEDEL 6FR MCA. COVIDIEN</t>
  </si>
  <si>
    <t>CÁNULA ENDOTRAQUEAL 7 FR C/GLOBO MCA. COVIDIEN</t>
  </si>
  <si>
    <t>CÁNULA ENDOTRAQUEAL 7.5 FR C/GLOBO MCA. COVIDIEN</t>
  </si>
  <si>
    <t>CÁNULA ENDOTRAQUEAL 8 FR C/GLOBO MCA. COVIDIEN</t>
  </si>
  <si>
    <t>CÁNULA ENDOTRAQUEAL 8.5 FR. C/GLOBO MCA. COVIDIEN</t>
  </si>
  <si>
    <t>CATETER VENOSO CENTRAL 2 LUMEN MCA. COVIDIEN</t>
  </si>
  <si>
    <t>L3056</t>
  </si>
  <si>
    <t>CATETER VENOSO PERIFERICO 14GX45MM MCA. NIPRO (NARANJA)</t>
  </si>
  <si>
    <t>L3057</t>
  </si>
  <si>
    <t>CATETER VENOSO PERIFERICO 16GX51MM MCA. NIPRO (GRIS)</t>
  </si>
  <si>
    <t>L3058</t>
  </si>
  <si>
    <t>CATETER VENOSO PERIFERICO 18GX25MM MCA. NIPRO C/50 (VERDE)</t>
  </si>
  <si>
    <t>L3059</t>
  </si>
  <si>
    <t>CATETER VENOSO PERIFERICO 20GX19MM MCA. NIPRO (ROSA)</t>
  </si>
  <si>
    <t>L3060</t>
  </si>
  <si>
    <t>CATETER VENOSO PERIFERICO 22GX25MM MCA. NIPRO (AZUL)</t>
  </si>
  <si>
    <t>L3061</t>
  </si>
  <si>
    <t>CATETER VENOSO PERIFERICO 24GX20MM MCA. NIPRO (AMARILLO)</t>
  </si>
  <si>
    <t>011-NC100</t>
  </si>
  <si>
    <t>CONECTOR NEUTRON</t>
  </si>
  <si>
    <t>CONECTOR  DELGADO MCA. DIPMAC</t>
  </si>
  <si>
    <t>CONECTOR DELGADO NO ESTERIL MCA. SIMS</t>
  </si>
  <si>
    <t>EXTENSIÓN PARA OXÍGENO 1.80MT MCA. MKD</t>
  </si>
  <si>
    <t>EXTENSIÓN PARA OXÍGENO 2.10MT MCA. DIPMAC</t>
  </si>
  <si>
    <t>VENDITAS MCA. ALFAMEDICAL C/100</t>
  </si>
  <si>
    <t>FLEBOTEK MICROGOTERO S/AGUJA  MCA. PISA</t>
  </si>
  <si>
    <t>EQUIPO PARA VENOCLISIS NORMOGOTERO S/AGUJA MCA. DL</t>
  </si>
  <si>
    <t>GASA ESTERIL 10x10 MCA. DIBAR</t>
  </si>
  <si>
    <t>GASA ESTERIL 5X7.5CM MCA. DIBAR C/100</t>
  </si>
  <si>
    <t>GASA ESTERIL 5X7.5CM MCA. QUIRMEX C/100</t>
  </si>
  <si>
    <t>GEL  ANTIBACTERIAL 1L MCA. HD</t>
  </si>
  <si>
    <t>GEL  CLEAN 1L MCA. ALTAMIRANO</t>
  </si>
  <si>
    <t>GUANTE NITRILO M MCA. ROYAL C/100</t>
  </si>
  <si>
    <t>71443-02</t>
  </si>
  <si>
    <t>HIPAFIX 10CMX10MT  MCA. BSN</t>
  </si>
  <si>
    <t>ROLLO</t>
  </si>
  <si>
    <t>HOJA DE BISTURI ACERO AL CARBON #11  MCA. AMBIDERM C/100</t>
  </si>
  <si>
    <t>HOJA DE BISTURI ACERO AL CARBON #20 MCA. AMBIDERM C/100</t>
  </si>
  <si>
    <t>JERINGA S/A  20ML  MCA. NIPRO C/50</t>
  </si>
  <si>
    <t>JERINGA S/A  5ML  MCA. DL C/100</t>
  </si>
  <si>
    <t>JERINGA S/A  50ML  MCA. NIPRO C/25</t>
  </si>
  <si>
    <t>LLAVE DE 3 VÍAS C/EXTENSIÓN  MCA. PISA</t>
  </si>
  <si>
    <t>LUBRI-6 MCA. ALTAMIRANO 135GR</t>
  </si>
  <si>
    <t>HUDRH885U</t>
  </si>
  <si>
    <t>MASCARILLA P/NEBULIZAR ADULTO MCA. HUDSON</t>
  </si>
  <si>
    <t>SONDA FOLEY 20FR  MCA. DLP</t>
  </si>
  <si>
    <t>SUJETADOR DE TUBO DE ALIMENTACIÓN</t>
  </si>
  <si>
    <t>TERMOMETRO DIGITAL MCA. ESIGAR</t>
  </si>
  <si>
    <t>TOALLITA C/ALCOHOL ETILICO AL 70% MCA. DL C/100</t>
  </si>
  <si>
    <t>LATUTOHO2005-</t>
  </si>
  <si>
    <t>TORNIQUETE LIGADURA 15MT MCA. HOLY</t>
  </si>
  <si>
    <t>TUBO DE EXTENSIÓN P/VENOCLISIS MCA. DIPMAC</t>
  </si>
  <si>
    <t>AGUJA HIPODERMICA 25GX5/8 MCA. BD C/100</t>
  </si>
  <si>
    <t>MIN</t>
  </si>
  <si>
    <t>LANCETA contado</t>
  </si>
  <si>
    <t>AGUA OXIGENADA 100ML  MCA. NADRO</t>
  </si>
  <si>
    <t>ALCOHOL 70% 110ML  MCA. NADRO</t>
  </si>
  <si>
    <t>ALCOHOL 70% 250ML MCA. NADRO</t>
  </si>
  <si>
    <t>ALCOHOL 70% 500ML MCA. NADRO</t>
  </si>
  <si>
    <t>ALCOHOL 70% 1L MCA. NADRO</t>
  </si>
  <si>
    <t>GASA ESTERIL 10x10 MCA. QUIRMEX</t>
  </si>
  <si>
    <t>CAJA C/10</t>
  </si>
  <si>
    <t>AGUA OXIGENADA 480ML  MCA. NADRO</t>
  </si>
  <si>
    <t>AGUA INYECTABLE 500 ML MCA. PISA</t>
  </si>
  <si>
    <t xml:space="preserve">AGUA OXIGENADA MCA. JALOMA 125ML </t>
  </si>
  <si>
    <t xml:space="preserve">AGUJA HUBER C/LINEA DE CONEXIÓN POLIPERF 20GX20MM </t>
  </si>
  <si>
    <t>ALCOHOL 70% 500ML MCA. ALFAMEDICAL</t>
  </si>
  <si>
    <t>BANDITA ADHESIVA REDONDA MCA. PROTEC/100</t>
  </si>
  <si>
    <t>CÁNULA DE GUEDEL 4FR MCA. COVIDIEN</t>
  </si>
  <si>
    <t>CÁNULA ENDOTRAQUEAL 6 FR C/GLOBO MCA. RESPIFIX</t>
  </si>
  <si>
    <t>CÁNULA ENDOTRAQUEAL 6.5 FR C/GLOBO MCA. COVIDIEN</t>
  </si>
  <si>
    <t>CÁNULA ENDOTRAQUEAL 9 FR. C/GLOBO MCA. COVIDIEN</t>
  </si>
  <si>
    <t>CATETER VENOSO CENTRAL 2 LUMEN MCA. ARROW</t>
  </si>
  <si>
    <t>CATETER VENOSO PERIFERICO 14GX45MM MCA. VIZCARRA (NARANJA)</t>
  </si>
  <si>
    <t>CATETER VENOSO PERIFERICO 14GX51MM MCA. VIZCARRA  (GRIS)</t>
  </si>
  <si>
    <t>CATETER VENOSO PERIFERICO 16GX51MM MCA. VIZCARRA (GRIS)</t>
  </si>
  <si>
    <t>CATETER VENOSO PERIFERICO 18GX25MM MCA. VIZCARRA (VERDE)</t>
  </si>
  <si>
    <t>CATETER VENOSO PERIFERICO 18GX25MM MCA. VIZCARRA C/50 (VERDE)</t>
  </si>
  <si>
    <t>CATETER VENOSO PERIFERICO 20GX19MM MCA. VIZCARRA (ROSA)</t>
  </si>
  <si>
    <t>CATETER VENOSO PERIFERICO 22GX25MM MCA. VIZCARRA (AZUL)</t>
  </si>
  <si>
    <t>CATETER VENOSO PERIFERICO 24GX20MM MCA. VIZCARRA (AMARILLO)</t>
  </si>
  <si>
    <t>CHLORAPREP SIN TINTE 3ML MCA. BD</t>
  </si>
  <si>
    <t>CONECTOR DELGADO NO ESTERIL MCA. DIPMAC</t>
  </si>
  <si>
    <t>DEXTROSA AL 5% 100ML MCA. PISA</t>
  </si>
  <si>
    <t>DEXTROSA AL 50% 50ML MCA. PISA</t>
  </si>
  <si>
    <t>DURAPORE 5CM C/6 MCA. 3M</t>
  </si>
  <si>
    <t>FIJADOR PARA TUBO ENDOTRIACAL ADULTO MCA. HOLLISTER</t>
  </si>
  <si>
    <t>MEDISET NORMOGOTERO S/AGUJA  MCA. IPM</t>
  </si>
  <si>
    <t>GASA ESTERIL 5X7.5CM MCA. PROTEC C/100</t>
  </si>
  <si>
    <t>GUANTE ESTERIL LATEX M MCA. AMBIDERM C/100</t>
  </si>
  <si>
    <t>GUANTE ESTERIL LATEX M MCA. PROTEC C/100</t>
  </si>
  <si>
    <t>HOJA DE BISTURI #11 C/10 MCA. HERGOM</t>
  </si>
  <si>
    <t>HOJA DE BISTURI #20 C/10 MCA. HERGOM</t>
  </si>
  <si>
    <t>JERINGA S/A  20ML  MCA. BD C/50</t>
  </si>
  <si>
    <t>JERINGA S/A 10ML  MCA. BD C/100</t>
  </si>
  <si>
    <t>NIPLE COLA DE RATÓN MCA. HUDSON</t>
  </si>
  <si>
    <t>PUNTAS NASALES MCA. HUDSON 2.10MT</t>
  </si>
  <si>
    <t>SONDA FOLEY 14FR  MCA. DLP</t>
  </si>
  <si>
    <t>SONDA FOLEY 18FR  MCA. DLP</t>
  </si>
  <si>
    <t>SONDA FOLEY 16FR  MCA. DLP</t>
  </si>
  <si>
    <t>RECOLECTOR DE PUNZOCORTANTE 22.7LT MCA. BD</t>
  </si>
  <si>
    <t>RECOLECTOR DE PUNZOCORTANTE 3LT MCA. BD   ROJO</t>
  </si>
  <si>
    <t>SONDA DE ASPIRACIÓN 12 FR MCA. MKD</t>
  </si>
  <si>
    <t>SONDA DE ASPIRACIÓN 18 FR CA. MKD</t>
  </si>
  <si>
    <t>SONDA FOLEY 12FR  MCA. DLP</t>
  </si>
  <si>
    <t>SONDA FOLEY 2V 5CC 14FR MCA. KENDAL</t>
  </si>
  <si>
    <t>SONDA FOLEY 2V 30CC 16FR MCA. KENDAL</t>
  </si>
  <si>
    <t>SONDA FOLEY 2V 5CC 18FR MCA. KENDAL</t>
  </si>
  <si>
    <t>SONDA FOLEY 2V 5CC  20FR MCA. KENDAL</t>
  </si>
  <si>
    <t>SUTURA NYLON 3/0 MCA. ATRAMAT</t>
  </si>
  <si>
    <t>TOALLITA C/ALCOHOL ETILICO AL 70%  MCA. BD C/100</t>
  </si>
  <si>
    <t>FOL0102</t>
  </si>
  <si>
    <t>TASP12</t>
  </si>
  <si>
    <t>TAS918</t>
  </si>
  <si>
    <t>IPM2007</t>
  </si>
  <si>
    <t>PE2443-N</t>
  </si>
  <si>
    <t>JERINGA S/A 10ML  MCA. DL C/100</t>
  </si>
  <si>
    <t>JERINGA S/A  5ML  MCA. NIPRO C/100</t>
  </si>
  <si>
    <t>JERINGA S/A  10ML  MCA. NIPRO C/100</t>
  </si>
  <si>
    <t>MOREH        1 semana</t>
  </si>
  <si>
    <t>JTC  Contado</t>
  </si>
  <si>
    <t>QUINSA Contado</t>
  </si>
  <si>
    <t>JD-20L-IB</t>
  </si>
  <si>
    <t>JD-10L</t>
  </si>
  <si>
    <t>DLJER5ML</t>
  </si>
  <si>
    <t>DLJER10ML</t>
  </si>
  <si>
    <t>CLORURO DE SODIO 0.9% 250ML</t>
  </si>
  <si>
    <t>DEXTROSA AL 5% 1000ML MCA. PISA</t>
  </si>
  <si>
    <t>DEXTROSA AL 5% 500ML MCA. PISA</t>
  </si>
  <si>
    <t>DEXTROSA AL 5% 250ML MCA. PISA</t>
  </si>
  <si>
    <t>DISCOFIX 10 CM MCA. B BRAUN</t>
  </si>
  <si>
    <t>16500C</t>
  </si>
  <si>
    <t>ELECTRODO MCA. 3M C/50</t>
  </si>
  <si>
    <t>TEGADERM FILM 10x12CM REF. 1626 3M C/50</t>
  </si>
  <si>
    <t>GASA ESTERIL 10x10 MCA. PROTEC C/100</t>
  </si>
  <si>
    <t>AGUA INYECTABLE 10 ML MCA. PISA C/100</t>
  </si>
  <si>
    <t>MAXZERO CONECTOR LIBRE DE AGUJA  PIEZA</t>
  </si>
  <si>
    <t xml:space="preserve">CLORURO DE SODIO 0.9% 1000ML </t>
  </si>
  <si>
    <t>TEGADERM I.V  6.5x7CM REF. 1683 MCA. 3M C/100</t>
  </si>
  <si>
    <t>AGUJA HIPODERMICA 16GX1 1/2 MCA. BD ( MORADA) C/100</t>
  </si>
  <si>
    <t>AGUJA HIPODERMICA 18GX1/2 MCA. BD ( ROSA) C/100</t>
  </si>
  <si>
    <t>AGUJA HIPODERMICA 18GX1/2 MCA. NIPRO ( ROSA) C/100</t>
  </si>
  <si>
    <t>AGUJA HIPODERMICA 20GX32MM MCA. BD (AMARILLA) C/100</t>
  </si>
  <si>
    <t>AGUJA HIPODERMICA 20GX32MM MCA. DL (AMARILLA) C/100</t>
  </si>
  <si>
    <t>JERINGA C/A 1ML MCA. BD C/100</t>
  </si>
  <si>
    <t>AGUJA HIPODERMICA 31GX6MM  3ML MCA. BD C/30</t>
  </si>
  <si>
    <t>CAJA C/30</t>
  </si>
  <si>
    <t>JABON QUIRURGICO SOFTASKIN 1000ML</t>
  </si>
  <si>
    <t>JABÓN ANTIBACTERIAL DIAL 221ML</t>
  </si>
  <si>
    <t>GEL ANTIBACTERIAL ESCUDO 750ML</t>
  </si>
  <si>
    <t>BOTELLA</t>
  </si>
  <si>
    <t>INFUSOR HOMEPUMP  270 ML (5ML/H)</t>
  </si>
  <si>
    <t>Toallitas alcoholadas swa bs c/100</t>
  </si>
  <si>
    <t>Solución cloruro de sodio 0.9% 50 mL c/50</t>
  </si>
  <si>
    <t>caja</t>
  </si>
  <si>
    <t>NARVARTE</t>
  </si>
  <si>
    <t>GEL  ANTIBACTERIAL 500ML MCA. SARA NY NEUTRO</t>
  </si>
  <si>
    <t> 7502216129450</t>
  </si>
  <si>
    <t>piezas</t>
  </si>
  <si>
    <t>VENDA ELASTICA 10CM</t>
  </si>
  <si>
    <t>VENDA ELASTICA 30CM</t>
  </si>
  <si>
    <t>VENDA ELASTICA 5CM</t>
  </si>
  <si>
    <t>VENDA ELASTOMEDIC 5CM</t>
  </si>
  <si>
    <t>VENDA ELASTOMEDIC 10CM</t>
  </si>
  <si>
    <t>VENDA ELASTOMEDIC 30CM</t>
  </si>
  <si>
    <t>PAQUETE C/6</t>
  </si>
  <si>
    <t>CAJA C/200</t>
  </si>
  <si>
    <t>TOALLITA C/ALCOHOL ETILICO AL 70% MCA. COVIDIEN C/200</t>
  </si>
  <si>
    <t xml:space="preserve">VENDA COBAN 5CM X 4.5M </t>
  </si>
  <si>
    <t>Abatelengua de madera individual bolsa c/ 100</t>
  </si>
  <si>
    <t>bolsa</t>
  </si>
  <si>
    <t>Llave de 3 vías Discofix pieza caja c/50</t>
  </si>
  <si>
    <t>Aguja Hipodermica (morada) 16G c/100</t>
  </si>
  <si>
    <t>cajas</t>
  </si>
  <si>
    <t>Agua Inyectable 10 mL c/100</t>
  </si>
  <si>
    <t>Tegaderm 10 x 12 cm c/50</t>
  </si>
  <si>
    <t>Tegaderm I.V. apositos 6.5 x 7 cm c/100</t>
  </si>
  <si>
    <t>Removedor adhesivo en toalla hollister caja c/50</t>
  </si>
  <si>
    <t>Guante latex M Ambiderm esteril c/100</t>
  </si>
  <si>
    <t>Cubrebocas 3 pliegues Ambiderm azul c/50</t>
  </si>
  <si>
    <t>Maxzero conector libre de aguja BD</t>
  </si>
  <si>
    <t>Fundas para reposet bolsa c/ 25</t>
  </si>
  <si>
    <t>bolsas</t>
  </si>
  <si>
    <t>Infusor homepump AVANOS 270 mL (5mL/h)</t>
  </si>
  <si>
    <t>Venditas cureband redondas c/10 Jaloma</t>
  </si>
  <si>
    <t>Guante latex M Ambiderm no esteril c/100</t>
  </si>
  <si>
    <t>Cánula con filtro Sterifix B Braun 4.5 mL caja c/ 50</t>
  </si>
  <si>
    <t>CANULA CON FILTRO STERIFIX 4.5ML MCA. BBRAUN C/50</t>
  </si>
  <si>
    <t>ABATELENGUAS DE MADERA INDIVIDUAL ESTERIL C/100</t>
  </si>
  <si>
    <t>FUNDA PARA REPOSET DESECHABLE C/25</t>
  </si>
  <si>
    <t>BOLSA C/25</t>
  </si>
  <si>
    <t>BOLSA C/100</t>
  </si>
  <si>
    <t>TOALLITA C/ALCOHOL ETILICO AL 70%  MCA. PROTEC C/100</t>
  </si>
  <si>
    <t>MZ1000</t>
  </si>
  <si>
    <t>OM SOLUTION 30 días</t>
  </si>
  <si>
    <t>GRS DETECCION</t>
  </si>
  <si>
    <t>GEL ANTIBACTERIAL 1 L</t>
  </si>
  <si>
    <t xml:space="preserve">CÁNULA ENDOTRAQUEAL 6.5 FR C/GLOBO </t>
  </si>
  <si>
    <t>AGUJA HIPODERMICA 18GX38MM MCA. DL( ROSA) C/100</t>
  </si>
  <si>
    <t>AGH18X38</t>
  </si>
  <si>
    <t>AGH20X32</t>
  </si>
  <si>
    <t>CUBREBOCAS</t>
  </si>
  <si>
    <t>GASA ESTERIL 7.5X7.5CM MCA. JALOMA C/100</t>
  </si>
  <si>
    <t>GASA ESTERIL 10x10 MCA. JALOMA C/100</t>
  </si>
  <si>
    <t>GUANTE NITRILO M MCA. DERMACARE C/100</t>
  </si>
  <si>
    <t>JERINGA P/INSULINA  1ML 30X16MM AMARILLA MCA. PROTEC C/100</t>
  </si>
  <si>
    <t>JERINGA S/A  20ML  MCA. PROTEC C/50</t>
  </si>
  <si>
    <t>JERINGA S/A DESECHABLE DE 3 ML MCA BD</t>
  </si>
  <si>
    <t>JERINGA S/A DESECHABLE DE 3 ML21GX32MM MCA PROTEC C/100</t>
  </si>
  <si>
    <t>GIRATEK LLAVE DE TRES VÍAS S/EXTENSIÓN REF. 4003549 C/10</t>
  </si>
  <si>
    <t>BOLSA RECOLECTORA DE ORINA 2L MCA. SENSIMEDICAL</t>
  </si>
  <si>
    <t>MASCARILLA RESERVORIO PARA OXÍGENO ADULTO MCA. SENSIMEDICAL</t>
  </si>
  <si>
    <t xml:space="preserve">CATETER VENOSO PERIFERICO 18GX32MM MCA. VIZCARRA C/50 </t>
  </si>
  <si>
    <t xml:space="preserve">RECOLECTOR DE PUNZOCORTANTE 26LT MCA. </t>
  </si>
  <si>
    <t>SONDA FOLEY 16FR  MCA. SENSIMEDICAL GLOBO 5</t>
  </si>
  <si>
    <t>SONDA FOLEY 2V 5CC 18FR MCA. SENSIMEDICAL</t>
  </si>
  <si>
    <t>TEGADERM I.V  6x7CM MCA. 3M C/50</t>
  </si>
  <si>
    <t>1624W</t>
  </si>
  <si>
    <t>TOALLITA C/ALCOHOL ETILICO AL 70%  MCA. ALFA MEDICAL C/100</t>
  </si>
  <si>
    <t>BANDITA ADHESIVA  MCA. PROTE C/100</t>
  </si>
  <si>
    <t>CUBREBOCAS KN95</t>
  </si>
  <si>
    <t>TORNIQUETE LIGADURA</t>
  </si>
  <si>
    <t>GEN001</t>
  </si>
  <si>
    <t xml:space="preserve">RECOLECTOR DE PUNZOCORTANTE 2.76LT </t>
  </si>
  <si>
    <t>AGUA OXIGENADA 100ML  MCA. PROTEC</t>
  </si>
  <si>
    <t>ALCOHOL 70% 500ML MCA. PROTEC</t>
  </si>
  <si>
    <t>VENDA ELASTICA 30x5CM MCA. VENDALASTIC</t>
  </si>
  <si>
    <t>VENDA ELASTICA 10x5CM MCA. VENDALASTIC</t>
  </si>
  <si>
    <t>VENDA ELASTICA 5x5CM MCA. VENDALASTIC</t>
  </si>
  <si>
    <t>SUJETADOR DE SONDA FOLEY</t>
  </si>
  <si>
    <t>CUBREZAPATO MCA. PROTEC</t>
  </si>
  <si>
    <t>CINTA ADHESIVA SEDA LEUKOPLAST 5X4.57M</t>
  </si>
  <si>
    <t>TEGADERM+PAD IMPERMEABLE TRANSPARENTE 9X15CM  C/25</t>
  </si>
  <si>
    <t>JERINGA S/A  50ML  MCA. TERUMO C/25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</si>
</sst>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b/>
      <sz val="36"/>
      <color theme="0"/>
      <name val="Century Gothic"/>
      <family val="1"/>
    </font>
    <font>
      <b/>
      <sz val="11"/>
      <color theme="0"/>
      <name val="Century Gothic"/>
      <family val="1"/>
    </font>
    <font>
      <b/>
      <sz val="8"/>
      <color theme="1"/>
      <name val="Aptos Narrow"/>
      <family val="2"/>
      <scheme val="minor"/>
    </font>
    <font>
      <b/>
      <sz val="20"/>
      <color theme="0"/>
      <name val="Century Gothic"/>
      <family val="1"/>
    </font>
    <font>
      <b/>
      <sz val="9"/>
      <color theme="0"/>
      <name val="Century Gothic"/>
      <family val="1"/>
    </font>
    <font>
      <b/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0968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8" fillId="7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3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18" xfId="0" applyBorder="1"/>
    <xf numFmtId="0" fontId="0" fillId="0" borderId="18" xfId="0" applyBorder="1" applyAlignment="1">
      <alignment horizontal="center"/>
    </xf>
    <xf numFmtId="0" fontId="3" fillId="0" borderId="18" xfId="0" applyFont="1" applyBorder="1"/>
    <xf numFmtId="0" fontId="0" fillId="0" borderId="19" xfId="0" applyBorder="1"/>
    <xf numFmtId="44" fontId="3" fillId="0" borderId="1" xfId="1" applyFont="1" applyFill="1" applyBorder="1"/>
    <xf numFmtId="44" fontId="2" fillId="0" borderId="1" xfId="1" applyFont="1" applyFill="1" applyBorder="1" applyAlignment="1">
      <alignment horizontal="left"/>
    </xf>
    <xf numFmtId="44" fontId="2" fillId="0" borderId="1" xfId="1" applyFont="1" applyFill="1" applyBorder="1" applyAlignment="1">
      <alignment horizontal="center"/>
    </xf>
    <xf numFmtId="44" fontId="8" fillId="4" borderId="1" xfId="1" applyFont="1" applyFill="1" applyBorder="1" applyAlignment="1">
      <alignment horizontal="center" vertical="center" wrapText="1"/>
    </xf>
    <xf numFmtId="44" fontId="5" fillId="3" borderId="1" xfId="1" applyFont="1" applyFill="1" applyBorder="1" applyAlignment="1">
      <alignment horizontal="center" vertical="center" wrapText="1"/>
    </xf>
    <xf numFmtId="44" fontId="5" fillId="5" borderId="1" xfId="1" applyFont="1" applyFill="1" applyBorder="1" applyAlignment="1">
      <alignment horizontal="center" vertical="center" wrapText="1"/>
    </xf>
    <xf numFmtId="44" fontId="8" fillId="9" borderId="1" xfId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 readingOrder="1"/>
    </xf>
    <xf numFmtId="1" fontId="0" fillId="6" borderId="1" xfId="0" applyNumberForma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" fontId="3" fillId="0" borderId="1" xfId="1" applyNumberFormat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Alignment="1">
      <alignment horizontal="center"/>
    </xf>
    <xf numFmtId="0" fontId="0" fillId="0" borderId="18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13" fillId="10" borderId="16" xfId="0" applyFont="1" applyFill="1" applyBorder="1" applyAlignment="1">
      <alignment vertical="center" wrapText="1" readingOrder="1"/>
    </xf>
    <xf numFmtId="0" fontId="13" fillId="10" borderId="23" xfId="0" applyFont="1" applyFill="1" applyBorder="1" applyAlignment="1">
      <alignment vertical="center" wrapText="1" readingOrder="1"/>
    </xf>
    <xf numFmtId="0" fontId="13" fillId="10" borderId="5" xfId="0" applyFont="1" applyFill="1" applyBorder="1" applyAlignment="1">
      <alignment vertical="center" wrapText="1" readingOrder="1"/>
    </xf>
    <xf numFmtId="0" fontId="13" fillId="10" borderId="22" xfId="0" applyFont="1" applyFill="1" applyBorder="1" applyAlignment="1">
      <alignment vertical="center" wrapText="1" readingOrder="1"/>
    </xf>
    <xf numFmtId="0" fontId="0" fillId="8" borderId="1" xfId="0" applyFill="1" applyBorder="1"/>
    <xf numFmtId="0" fontId="0" fillId="8" borderId="7" xfId="0" applyFill="1" applyBorder="1"/>
    <xf numFmtId="15" fontId="0" fillId="0" borderId="1" xfId="0" applyNumberFormat="1" applyBorder="1"/>
    <xf numFmtId="15" fontId="0" fillId="0" borderId="7" xfId="0" applyNumberFormat="1" applyBorder="1"/>
    <xf numFmtId="0" fontId="0" fillId="0" borderId="7" xfId="0" applyBorder="1"/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6" xfId="0" applyFont="1" applyBorder="1" applyAlignment="1">
      <alignment horizontal="right" vertical="center"/>
    </xf>
    <xf numFmtId="0" fontId="0" fillId="8" borderId="24" xfId="0" applyFill="1" applyBorder="1"/>
    <xf numFmtId="0" fontId="0" fillId="8" borderId="9" xfId="0" applyFill="1" applyBorder="1"/>
    <xf numFmtId="0" fontId="0" fillId="8" borderId="11" xfId="0" applyFill="1" applyBorder="1"/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44" fontId="8" fillId="11" borderId="1" xfId="1" applyFont="1" applyFill="1" applyBorder="1" applyAlignment="1">
      <alignment horizontal="center" vertical="center" wrapText="1"/>
    </xf>
    <xf numFmtId="44" fontId="3" fillId="0" borderId="14" xfId="1" applyFont="1" applyFill="1" applyBorder="1"/>
    <xf numFmtId="0" fontId="5" fillId="0" borderId="1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8" fillId="13" borderId="1" xfId="1" applyFont="1" applyFill="1" applyBorder="1" applyAlignment="1">
      <alignment horizontal="center" vertical="center" wrapText="1"/>
    </xf>
    <xf numFmtId="44" fontId="8" fillId="1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 readingOrder="1"/>
    </xf>
    <xf numFmtId="44" fontId="5" fillId="15" borderId="1" xfId="1" applyFont="1" applyFill="1" applyBorder="1" applyAlignment="1">
      <alignment horizontal="center" vertical="center" wrapText="1"/>
    </xf>
    <xf numFmtId="44" fontId="17" fillId="12" borderId="1" xfId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vertical="center"/>
    </xf>
    <xf numFmtId="44" fontId="2" fillId="0" borderId="1" xfId="1" applyFont="1" applyFill="1" applyBorder="1" applyAlignment="1">
      <alignment horizontal="left" vertical="center"/>
    </xf>
    <xf numFmtId="0" fontId="3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4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14" xfId="0" applyBorder="1"/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vertical="top" wrapText="1" indent="3"/>
    </xf>
    <xf numFmtId="0" fontId="0" fillId="0" borderId="3" xfId="0" applyBorder="1" applyAlignment="1">
      <alignment horizontal="center"/>
    </xf>
    <xf numFmtId="0" fontId="3" fillId="0" borderId="3" xfId="0" applyFont="1" applyBorder="1"/>
    <xf numFmtId="1" fontId="3" fillId="0" borderId="3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4" xfId="0" applyBorder="1" applyAlignment="1">
      <alignment horizontal="center"/>
    </xf>
    <xf numFmtId="44" fontId="0" fillId="0" borderId="14" xfId="0" applyNumberFormat="1" applyBorder="1"/>
    <xf numFmtId="0" fontId="0" fillId="0" borderId="25" xfId="0" applyBorder="1"/>
    <xf numFmtId="14" fontId="5" fillId="0" borderId="1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left"/>
    </xf>
    <xf numFmtId="44" fontId="5" fillId="16" borderId="1" xfId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0" applyNumberFormat="1" applyBorder="1" applyAlignment="1">
      <alignment vertical="center"/>
    </xf>
    <xf numFmtId="0" fontId="5" fillId="0" borderId="16" xfId="0" applyFont="1" applyBorder="1" applyAlignment="1">
      <alignment horizontal="center"/>
    </xf>
    <xf numFmtId="44" fontId="5" fillId="2" borderId="1" xfId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/>
    </xf>
    <xf numFmtId="44" fontId="19" fillId="17" borderId="1" xfId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/>
    </xf>
    <xf numFmtId="9" fontId="0" fillId="0" borderId="0" xfId="1" applyNumberFormat="1" applyFont="1" applyFill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 wrapText="1" readingOrder="1"/>
    </xf>
    <xf numFmtId="0" fontId="12" fillId="10" borderId="0" xfId="0" applyFont="1" applyFill="1" applyAlignment="1">
      <alignment horizontal="center" vertical="center" wrapText="1" readingOrder="1"/>
    </xf>
    <xf numFmtId="0" fontId="12" fillId="10" borderId="4" xfId="0" applyFont="1" applyFill="1" applyBorder="1" applyAlignment="1">
      <alignment horizontal="center" vertical="center" wrapText="1" readingOrder="1"/>
    </xf>
    <xf numFmtId="0" fontId="12" fillId="10" borderId="5" xfId="0" applyFont="1" applyFill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/>
    </xf>
    <xf numFmtId="0" fontId="10" fillId="0" borderId="26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28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11" fillId="0" borderId="1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3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15" fillId="10" borderId="20" xfId="0" applyFont="1" applyFill="1" applyBorder="1" applyAlignment="1">
      <alignment horizontal="center" vertical="center" wrapText="1" readingOrder="1"/>
    </xf>
    <xf numFmtId="0" fontId="15" fillId="10" borderId="16" xfId="0" applyFont="1" applyFill="1" applyBorder="1" applyAlignment="1">
      <alignment horizontal="center" vertical="center" wrapText="1" readingOrder="1"/>
    </xf>
    <xf numFmtId="0" fontId="15" fillId="10" borderId="4" xfId="0" applyFont="1" applyFill="1" applyBorder="1" applyAlignment="1">
      <alignment horizontal="center" vertical="center" wrapText="1" readingOrder="1"/>
    </xf>
    <xf numFmtId="0" fontId="15" fillId="10" borderId="5" xfId="0" applyFont="1" applyFill="1" applyBorder="1" applyAlignment="1">
      <alignment horizontal="center" vertical="center" wrapText="1" readingOrder="1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44" fontId="17" fillId="18" borderId="1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1" xfId="0" applyNumberFormat="1" applyFill="1" applyBorder="1"/>
    <xf numFmtId="0" fontId="0" fillId="0" borderId="0" xfId="0" applyFill="1"/>
    <xf numFmtId="44" fontId="0" fillId="0" borderId="1" xfId="1" applyFont="1" applyFill="1" applyBorder="1"/>
    <xf numFmtId="44" fontId="0" fillId="0" borderId="1" xfId="1" applyFont="1" applyFill="1" applyBorder="1" applyAlignment="1">
      <alignment horizontal="center"/>
    </xf>
    <xf numFmtId="0" fontId="0" fillId="0" borderId="0" xfId="0" applyBorder="1"/>
    <xf numFmtId="14" fontId="0" fillId="0" borderId="1" xfId="0" applyNumberFormat="1" applyFill="1" applyBorder="1" applyAlignment="1">
      <alignment horizontal="center"/>
    </xf>
  </cellXfs>
  <cellStyles count="7">
    <cellStyle name="Moneda" xfId="1" builtinId="4"/>
    <cellStyle name="Moneda 2" xfId="3" xr:uid="{6C454690-2B50-41C4-9DCE-B05B15B86F20}"/>
    <cellStyle name="Moneda 3" xfId="5" xr:uid="{F1CDC40E-23A9-45DD-9CFB-CF97D530B6A0}"/>
    <cellStyle name="Moneda 4" xfId="6" xr:uid="{A46B32C3-B143-4A16-8BF0-1D02ED4DA8B1}"/>
    <cellStyle name="Normal" xfId="0" builtinId="0"/>
    <cellStyle name="Normal 3" xfId="2" xr:uid="{B7979D86-1F08-4F5D-8D90-5ED522DF6CE9}"/>
    <cellStyle name="Normal 4" xfId="4" xr:uid="{DF9981EB-926A-4FA8-9782-025D00E042DF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B7E4541-220E-4848-99EC-C9BB741C73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0.png"/><Relationship Id="rId5" Type="http://schemas.openxmlformats.org/officeDocument/2006/relationships/customXml" Target="../ink/ink3.xml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242523</xdr:colOff>
      <xdr:row>7</xdr:row>
      <xdr:rowOff>0</xdr:rowOff>
    </xdr:from>
    <xdr:to>
      <xdr:col>1</xdr:col>
      <xdr:colOff>247328</xdr:colOff>
      <xdr:row>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55A11618-4B1A-4F8D-2DE0-6D8545BE5F9C}"/>
                </a:ext>
              </a:extLst>
            </xdr14:cNvPr>
            <xdr14:cNvContentPartPr/>
          </xdr14:nvContentPartPr>
          <xdr14:nvPr macro=""/>
          <xdr14:xfrm>
            <a:off x="459000" y="1757389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55A11618-4B1A-4F8D-2DE0-6D8545BE5F9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52880" y="17512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658276</xdr:colOff>
      <xdr:row>7</xdr:row>
      <xdr:rowOff>0</xdr:rowOff>
    </xdr:from>
    <xdr:to>
      <xdr:col>2</xdr:col>
      <xdr:colOff>666256</xdr:colOff>
      <xdr:row>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CBE4CC8D-0211-A682-C6B5-12F22C031D93}"/>
                </a:ext>
              </a:extLst>
            </xdr14:cNvPr>
            <xdr14:cNvContentPartPr/>
          </xdr14:nvContentPartPr>
          <xdr14:nvPr macro=""/>
          <xdr14:xfrm>
            <a:off x="1385640" y="2311789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CBE4CC8D-0211-A682-C6B5-12F22C031D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79520" y="23056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658276</xdr:colOff>
      <xdr:row>7</xdr:row>
      <xdr:rowOff>0</xdr:rowOff>
    </xdr:from>
    <xdr:to>
      <xdr:col>2</xdr:col>
      <xdr:colOff>667734</xdr:colOff>
      <xdr:row>7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4A75A0F2-56C2-4823-9A30-2F0B271A085B}"/>
                </a:ext>
              </a:extLst>
            </xdr14:cNvPr>
            <xdr14:cNvContentPartPr/>
          </xdr14:nvContentPartPr>
          <xdr14:nvPr macro=""/>
          <xdr14:xfrm>
            <a:off x="1385640" y="2311789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CBE4CC8D-0211-A682-C6B5-12F22C031D9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79520" y="23056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133178</xdr:colOff>
      <xdr:row>0</xdr:row>
      <xdr:rowOff>0</xdr:rowOff>
    </xdr:from>
    <xdr:to>
      <xdr:col>4</xdr:col>
      <xdr:colOff>169868</xdr:colOff>
      <xdr:row>5</xdr:row>
      <xdr:rowOff>551979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FA9F32F-134C-4A7E-B527-F17BE2EDD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931" y="0"/>
          <a:ext cx="2131248" cy="16802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663388</xdr:colOff>
      <xdr:row>0</xdr:row>
      <xdr:rowOff>36755</xdr:rowOff>
    </xdr:from>
    <xdr:ext cx="935915" cy="1250244"/>
    <xdr:pic>
      <xdr:nvPicPr>
        <xdr:cNvPr id="2" name="Imagen 1">
          <a:extLst>
            <a:ext uri="{FF2B5EF4-FFF2-40B4-BE49-F238E27FC236}">
              <a16:creationId xmlns:a16="http://schemas.microsoft.com/office/drawing/2014/main" id="{41016FFA-5359-4653-9C35-02AF4BF7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88" y="36755"/>
          <a:ext cx="935915" cy="1250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609600</xdr:colOff>
      <xdr:row>0</xdr:row>
      <xdr:rowOff>295836</xdr:rowOff>
    </xdr:from>
    <xdr:to>
      <xdr:col>3</xdr:col>
      <xdr:colOff>474713</xdr:colOff>
      <xdr:row>1</xdr:row>
      <xdr:rowOff>1181057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ABC045-6EDF-4A57-B3FD-6F20B18EB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1" y="295836"/>
          <a:ext cx="1559442" cy="121691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30T22:01:42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30T22:01:46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2T20:44:09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231B-2594-4636-88DA-8117CEDDC133}">
  <sheetPr filterMode="1"/>
  <dimension ref="B1:AB254"/>
  <sheetViews>
    <sheetView tabSelected="1" topLeftCell="B1" zoomScale="99" zoomScaleNormal="99" workbookViewId="0">
      <pane xSplit="3" ySplit="7" topLeftCell="E59" activePane="bottomRight" state="frozen"/>
      <selection activeCell="B1" sqref="B1"/>
      <selection pane="topRight" activeCell="E1" sqref="E1"/>
      <selection pane="bottomLeft" activeCell="B8" sqref="B8"/>
      <selection pane="bottomRight" activeCell="E41" sqref="E41"/>
    </sheetView>
  </sheetViews>
  <sheetFormatPr baseColWidth="10" defaultRowHeight="14.4" x14ac:dyDescent="0.3"/>
  <cols>
    <col min="1" max="1" width="3.109375" customWidth="1"/>
    <col min="2" max="2" width="7.44140625" style="3" customWidth="1"/>
    <col min="3" max="3" width="15" style="9" customWidth="1"/>
    <col min="4" max="4" width="15.44140625" style="57" customWidth="1"/>
    <col min="5" max="5" width="57.88671875" style="1" customWidth="1"/>
    <col min="6" max="6" width="14.6640625" style="3" customWidth="1"/>
    <col min="7" max="7" width="11.5546875" style="3" customWidth="1"/>
    <col min="8" max="8" width="12.5546875" style="27" customWidth="1"/>
    <col min="9" max="9" width="11" style="27" customWidth="1"/>
    <col min="10" max="10" width="10.5546875" style="28" customWidth="1"/>
    <col min="11" max="12" width="12.109375" style="28" customWidth="1"/>
    <col min="13" max="13" width="9" style="28" customWidth="1"/>
    <col min="14" max="14" width="11.6640625" style="28" customWidth="1"/>
    <col min="15" max="15" width="9.77734375" style="28" customWidth="1"/>
    <col min="16" max="16" width="9.44140625" style="28" customWidth="1"/>
    <col min="17" max="17" width="9.77734375" style="27" customWidth="1"/>
    <col min="18" max="18" width="8.77734375" style="27" customWidth="1"/>
    <col min="19" max="19" width="9.6640625" style="27" customWidth="1"/>
    <col min="20" max="20" width="10.21875" style="27" customWidth="1"/>
    <col min="21" max="21" width="10.5546875" style="27" customWidth="1"/>
    <col min="22" max="22" width="11.109375" style="28" customWidth="1"/>
    <col min="23" max="23" width="11.5546875" style="58"/>
    <col min="24" max="24" width="13.88671875" style="3" customWidth="1"/>
    <col min="25" max="25" width="11.5546875" style="3"/>
    <col min="27" max="27" width="19.33203125" style="3" customWidth="1"/>
    <col min="28" max="28" width="43.109375" bestFit="1" customWidth="1"/>
  </cols>
  <sheetData>
    <row r="1" spans="2:28" ht="15.6" customHeight="1" x14ac:dyDescent="0.3">
      <c r="B1" s="101" t="s">
        <v>20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2:28" ht="14.4" customHeight="1" x14ac:dyDescent="0.3"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</row>
    <row r="3" spans="2:28" ht="14.4" customHeight="1" x14ac:dyDescent="0.3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</row>
    <row r="4" spans="2:28" ht="28.2" customHeight="1" x14ac:dyDescent="0.3"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</row>
    <row r="5" spans="2:28" ht="14.4" customHeight="1" x14ac:dyDescent="0.3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</row>
    <row r="6" spans="2:28" ht="52.8" customHeight="1" x14ac:dyDescent="0.3">
      <c r="B6" s="103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 spans="2:28" s="62" customFormat="1" ht="45" customHeight="1" x14ac:dyDescent="0.3">
      <c r="B7" s="21" t="s">
        <v>0</v>
      </c>
      <c r="C7" s="63" t="s">
        <v>49</v>
      </c>
      <c r="D7" s="21" t="s">
        <v>112</v>
      </c>
      <c r="E7" s="21" t="s">
        <v>73</v>
      </c>
      <c r="F7" s="21" t="s">
        <v>72</v>
      </c>
      <c r="G7" s="21" t="s">
        <v>3</v>
      </c>
      <c r="H7" s="95" t="s">
        <v>66</v>
      </c>
      <c r="I7" s="97" t="s">
        <v>351</v>
      </c>
      <c r="J7" s="18" t="s">
        <v>67</v>
      </c>
      <c r="K7" s="149" t="s">
        <v>352</v>
      </c>
      <c r="L7" s="149"/>
      <c r="M7" s="65" t="s">
        <v>277</v>
      </c>
      <c r="N7" s="64" t="s">
        <v>278</v>
      </c>
      <c r="O7" s="4" t="s">
        <v>68</v>
      </c>
      <c r="P7" s="54" t="s">
        <v>105</v>
      </c>
      <c r="Q7" s="20" t="s">
        <v>276</v>
      </c>
      <c r="R7" s="17" t="s">
        <v>64</v>
      </c>
      <c r="S7" s="59" t="s">
        <v>211</v>
      </c>
      <c r="T7" s="60" t="s">
        <v>150</v>
      </c>
      <c r="U7" s="19" t="s">
        <v>65</v>
      </c>
      <c r="V7" s="90" t="s">
        <v>210</v>
      </c>
      <c r="W7" s="22" t="s">
        <v>24</v>
      </c>
      <c r="X7" s="21" t="s">
        <v>57</v>
      </c>
      <c r="Y7" s="21" t="s">
        <v>58</v>
      </c>
      <c r="Z7" s="21" t="s">
        <v>59</v>
      </c>
      <c r="AA7" s="21" t="s">
        <v>61</v>
      </c>
      <c r="AB7" s="21" t="s">
        <v>60</v>
      </c>
    </row>
    <row r="8" spans="2:28" hidden="1" x14ac:dyDescent="0.3">
      <c r="B8" s="2">
        <v>95</v>
      </c>
      <c r="C8" s="68"/>
      <c r="D8" s="69">
        <v>0</v>
      </c>
      <c r="E8" s="61" t="s">
        <v>345</v>
      </c>
      <c r="F8" s="70">
        <f>VLOOKUP(B8,REQUISICIÓN!$C$9:$E$125,3,0)</f>
        <v>1</v>
      </c>
      <c r="G8" s="70" t="s">
        <v>348</v>
      </c>
      <c r="H8" s="15">
        <v>43.6</v>
      </c>
      <c r="I8" s="15">
        <v>45</v>
      </c>
      <c r="J8" s="15">
        <v>0</v>
      </c>
      <c r="K8" s="15"/>
      <c r="L8" s="15"/>
      <c r="M8" s="15">
        <v>0</v>
      </c>
      <c r="N8" s="15">
        <v>215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6">
        <f t="shared" ref="V8:V43" si="0">SMALL(H8:U8,COUNTIF(H8:U8,"&lt;=0")+1)</f>
        <v>43.6</v>
      </c>
      <c r="W8" s="26">
        <f>VLOOKUP(B8,REQUISICIÓN!$C$9:$G$509,5,0)</f>
        <v>41</v>
      </c>
      <c r="X8" s="25"/>
      <c r="Y8" s="25"/>
      <c r="Z8" s="25"/>
      <c r="AA8" s="25"/>
      <c r="AB8" s="25"/>
    </row>
    <row r="9" spans="2:28" x14ac:dyDescent="0.3">
      <c r="B9" s="2">
        <v>61</v>
      </c>
      <c r="C9" s="71">
        <v>7502268541699</v>
      </c>
      <c r="D9" s="71"/>
      <c r="E9" s="96" t="s">
        <v>292</v>
      </c>
      <c r="F9" s="70">
        <f>VLOOKUP(B9,REQUISICIÓN!$C$9:$E$125,3,0)</f>
        <v>1</v>
      </c>
      <c r="G9" s="72" t="s">
        <v>9</v>
      </c>
      <c r="H9" s="14">
        <v>754.4</v>
      </c>
      <c r="I9" s="14">
        <v>754.4</v>
      </c>
      <c r="J9" s="15">
        <v>740</v>
      </c>
      <c r="K9" s="15">
        <f>7*100</f>
        <v>700</v>
      </c>
      <c r="L9" s="15"/>
      <c r="M9" s="15">
        <v>0</v>
      </c>
      <c r="N9" s="15"/>
      <c r="O9" s="14">
        <v>835.68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6">
        <f t="shared" ref="V9:V72" si="1">SMALL(H9:U9,COUNTIF(H9:U9,"&lt;=0")+1)</f>
        <v>700</v>
      </c>
      <c r="W9" s="26">
        <f>VLOOKUP(B9,REQUISICIÓN!$C$9:$G$509,5,0)</f>
        <v>41</v>
      </c>
      <c r="X9" s="25"/>
      <c r="Y9" s="2"/>
      <c r="Z9" s="73"/>
      <c r="AA9" s="25"/>
      <c r="AB9" s="25"/>
    </row>
    <row r="10" spans="2:28" hidden="1" x14ac:dyDescent="0.3">
      <c r="B10" s="2">
        <v>62</v>
      </c>
      <c r="C10" s="71">
        <v>7501125110702</v>
      </c>
      <c r="D10" s="71"/>
      <c r="E10" s="61" t="s">
        <v>220</v>
      </c>
      <c r="F10" s="70" t="e">
        <f>VLOOKUP(B10,REQUISICIÓN!$C$9:$E$125,3,0)</f>
        <v>#N/A</v>
      </c>
      <c r="G10" s="72" t="s">
        <v>17</v>
      </c>
      <c r="H10" s="14">
        <v>0</v>
      </c>
      <c r="I10" s="14"/>
      <c r="J10" s="14">
        <v>503.03399999999999</v>
      </c>
      <c r="K10" s="14"/>
      <c r="L10" s="14"/>
      <c r="M10" s="15">
        <v>0</v>
      </c>
      <c r="N10" s="15"/>
      <c r="O10" s="14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6">
        <f t="shared" si="1"/>
        <v>503.03399999999999</v>
      </c>
      <c r="W10" s="26" t="e">
        <f>VLOOKUP(B10,REQUISICIÓN!$C$9:$G$509,5,0)</f>
        <v>#N/A</v>
      </c>
      <c r="X10" s="25"/>
      <c r="Y10" s="25"/>
      <c r="Z10" s="25"/>
      <c r="AA10" s="25"/>
      <c r="AB10" s="25"/>
    </row>
    <row r="11" spans="2:28" hidden="1" x14ac:dyDescent="0.3">
      <c r="B11" s="2">
        <v>96</v>
      </c>
      <c r="C11" s="68"/>
      <c r="D11" s="69">
        <v>0</v>
      </c>
      <c r="E11" s="61" t="s">
        <v>221</v>
      </c>
      <c r="F11" s="70" t="e">
        <f>VLOOKUP(B11,REQUISICIÓN!$C$9:$E$125,3,0)</f>
        <v>#N/A</v>
      </c>
      <c r="G11" s="70" t="s">
        <v>4</v>
      </c>
      <c r="H11" s="15">
        <v>8.5</v>
      </c>
      <c r="I11" s="15"/>
      <c r="J11" s="15">
        <v>0</v>
      </c>
      <c r="K11" s="15"/>
      <c r="L11" s="15"/>
      <c r="M11" s="15">
        <v>0</v>
      </c>
      <c r="N11" s="15"/>
      <c r="O11" s="14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6">
        <f t="shared" si="1"/>
        <v>8.5</v>
      </c>
      <c r="W11" s="26" t="e">
        <f>VLOOKUP(B11,REQUISICIÓN!$C$9:$G$509,5,0)</f>
        <v>#N/A</v>
      </c>
      <c r="X11" s="25"/>
      <c r="Y11" s="2"/>
      <c r="Z11" s="73"/>
      <c r="AA11" s="25"/>
      <c r="AB11" s="25"/>
    </row>
    <row r="12" spans="2:28" hidden="1" x14ac:dyDescent="0.3">
      <c r="B12" s="2">
        <v>200</v>
      </c>
      <c r="C12" s="68"/>
      <c r="D12" s="69">
        <v>0</v>
      </c>
      <c r="E12" s="61" t="s">
        <v>212</v>
      </c>
      <c r="F12" s="70" t="e">
        <f>VLOOKUP(B12,REQUISICIÓN!$C$9:$E$125,3,0)</f>
        <v>#N/A</v>
      </c>
      <c r="G12" s="70" t="s">
        <v>4</v>
      </c>
      <c r="H12" s="15">
        <v>0</v>
      </c>
      <c r="I12" s="15"/>
      <c r="J12" s="15">
        <v>0</v>
      </c>
      <c r="K12" s="15"/>
      <c r="L12" s="15"/>
      <c r="M12" s="15">
        <v>0</v>
      </c>
      <c r="N12" s="15"/>
      <c r="O12" s="14">
        <v>0</v>
      </c>
      <c r="P12" s="15">
        <v>6.68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6">
        <f t="shared" si="1"/>
        <v>6.68</v>
      </c>
      <c r="W12" s="26" t="e">
        <f>VLOOKUP(B12,REQUISICIÓN!$C$9:$G$509,5,0)</f>
        <v>#N/A</v>
      </c>
      <c r="X12" s="25"/>
      <c r="Y12" s="2"/>
      <c r="Z12" s="73"/>
      <c r="AA12" s="25"/>
      <c r="AB12" s="25"/>
    </row>
    <row r="13" spans="2:28" x14ac:dyDescent="0.3">
      <c r="B13" s="2">
        <v>246</v>
      </c>
      <c r="C13" s="71">
        <v>7501048335138</v>
      </c>
      <c r="D13" s="69"/>
      <c r="E13" s="96" t="s">
        <v>381</v>
      </c>
      <c r="F13" s="70" t="e">
        <f>VLOOKUP(B13,REQUISICIÓN!$C$9:$E$125,3,0)</f>
        <v>#N/A</v>
      </c>
      <c r="G13" s="70" t="s">
        <v>4</v>
      </c>
      <c r="H13" s="15"/>
      <c r="I13" s="15"/>
      <c r="J13" s="15"/>
      <c r="K13" s="15">
        <v>9</v>
      </c>
      <c r="L13" s="15"/>
      <c r="M13" s="15"/>
      <c r="N13" s="15"/>
      <c r="O13" s="14"/>
      <c r="P13" s="15"/>
      <c r="Q13" s="15"/>
      <c r="R13" s="15"/>
      <c r="S13" s="15"/>
      <c r="T13" s="15"/>
      <c r="U13" s="15"/>
      <c r="V13" s="16">
        <f t="shared" si="1"/>
        <v>9</v>
      </c>
      <c r="W13" s="26" t="e">
        <f>VLOOKUP(B13,REQUISICIÓN!$C$9:$G$509,5,0)</f>
        <v>#N/A</v>
      </c>
      <c r="X13" s="25"/>
      <c r="Y13" s="2"/>
      <c r="Z13" s="73"/>
      <c r="AA13" s="25"/>
      <c r="AB13" s="25"/>
    </row>
    <row r="14" spans="2:28" hidden="1" x14ac:dyDescent="0.3">
      <c r="B14" s="2">
        <v>206</v>
      </c>
      <c r="C14" s="71">
        <v>7501048350889</v>
      </c>
      <c r="D14" s="69">
        <v>0</v>
      </c>
      <c r="E14" s="61" t="s">
        <v>219</v>
      </c>
      <c r="F14" s="70" t="e">
        <f>VLOOKUP(B14,REQUISICIÓN!$C$9:$E$125,3,0)</f>
        <v>#N/A</v>
      </c>
      <c r="G14" s="70" t="s">
        <v>4</v>
      </c>
      <c r="H14" s="15">
        <v>0</v>
      </c>
      <c r="I14" s="15"/>
      <c r="J14" s="15">
        <v>0</v>
      </c>
      <c r="K14" s="15"/>
      <c r="L14" s="15"/>
      <c r="M14" s="15">
        <v>0</v>
      </c>
      <c r="N14" s="15"/>
      <c r="O14" s="14">
        <v>0</v>
      </c>
      <c r="P14" s="15">
        <v>16.22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6">
        <f t="shared" si="1"/>
        <v>16.22</v>
      </c>
      <c r="W14" s="26" t="e">
        <f>VLOOKUP(B14,REQUISICIÓN!$C$9:$G$509,5,0)</f>
        <v>#N/A</v>
      </c>
      <c r="X14" s="25"/>
      <c r="Y14" s="2"/>
      <c r="Z14" s="73"/>
      <c r="AA14" s="25"/>
      <c r="AB14" s="25"/>
    </row>
    <row r="15" spans="2:28" hidden="1" x14ac:dyDescent="0.3">
      <c r="B15" s="2">
        <v>133</v>
      </c>
      <c r="C15" s="68"/>
      <c r="D15" s="69">
        <v>305198</v>
      </c>
      <c r="E15" s="61" t="s">
        <v>296</v>
      </c>
      <c r="F15" s="70">
        <f>VLOOKUP(B15,REQUISICIÓN!$C$9:$E$125,3,0)</f>
        <v>2</v>
      </c>
      <c r="G15" s="70" t="s">
        <v>9</v>
      </c>
      <c r="H15" s="15">
        <v>216</v>
      </c>
      <c r="I15" s="15">
        <v>225</v>
      </c>
      <c r="J15" s="15">
        <v>280</v>
      </c>
      <c r="K15" s="15"/>
      <c r="L15" s="15"/>
      <c r="M15" s="15">
        <v>0</v>
      </c>
      <c r="N15" s="15"/>
      <c r="O15" s="14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6">
        <f t="shared" si="1"/>
        <v>216</v>
      </c>
      <c r="W15" s="26">
        <f>VLOOKUP(B15,REQUISICIÓN!$C$9:$G$509,5,0)</f>
        <v>41</v>
      </c>
      <c r="X15" s="25"/>
      <c r="Y15" s="2"/>
      <c r="Z15" s="73"/>
      <c r="AA15" s="25"/>
      <c r="AB15" s="25"/>
    </row>
    <row r="16" spans="2:28" hidden="1" x14ac:dyDescent="0.3">
      <c r="B16" s="2">
        <v>16</v>
      </c>
      <c r="C16" s="68"/>
      <c r="D16" s="71">
        <v>300017</v>
      </c>
      <c r="E16" s="61" t="s">
        <v>297</v>
      </c>
      <c r="F16" s="70" t="e">
        <f>VLOOKUP(B16,REQUISICIÓN!$C$9:$E$125,3,0)</f>
        <v>#N/A</v>
      </c>
      <c r="G16" s="70" t="s">
        <v>9</v>
      </c>
      <c r="H16" s="14">
        <v>156</v>
      </c>
      <c r="I16" s="14"/>
      <c r="J16" s="14">
        <v>208</v>
      </c>
      <c r="K16" s="14"/>
      <c r="L16" s="14"/>
      <c r="M16" s="15">
        <v>0</v>
      </c>
      <c r="N16" s="15"/>
      <c r="O16" s="14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6">
        <f t="shared" si="1"/>
        <v>156</v>
      </c>
      <c r="W16" s="26" t="e">
        <f>VLOOKUP(B16,REQUISICIÓN!$C$9:$G$509,5,0)</f>
        <v>#N/A</v>
      </c>
      <c r="X16" s="25"/>
      <c r="Y16" s="2"/>
      <c r="Z16" s="73"/>
      <c r="AA16" s="74"/>
      <c r="AB16" s="25"/>
    </row>
    <row r="17" spans="2:28" hidden="1" x14ac:dyDescent="0.3">
      <c r="B17" s="2">
        <v>151</v>
      </c>
      <c r="C17" s="68"/>
      <c r="D17" s="71" t="s">
        <v>152</v>
      </c>
      <c r="E17" s="61" t="s">
        <v>298</v>
      </c>
      <c r="F17" s="70" t="e">
        <f>VLOOKUP(B17,REQUISICIÓN!$C$9:$E$125,3,0)</f>
        <v>#N/A</v>
      </c>
      <c r="G17" s="72" t="s">
        <v>9</v>
      </c>
      <c r="H17" s="14">
        <v>0</v>
      </c>
      <c r="I17" s="14"/>
      <c r="J17" s="15">
        <v>0</v>
      </c>
      <c r="K17" s="15"/>
      <c r="L17" s="15"/>
      <c r="M17" s="15">
        <v>0</v>
      </c>
      <c r="N17" s="15"/>
      <c r="O17" s="14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6" t="e">
        <f t="shared" si="1"/>
        <v>#NUM!</v>
      </c>
      <c r="W17" s="26" t="e">
        <f>VLOOKUP(B17,REQUISICIÓN!$C$9:$G$509,5,0)</f>
        <v>#N/A</v>
      </c>
      <c r="X17" s="2"/>
      <c r="Y17" s="2"/>
      <c r="Z17" s="25"/>
      <c r="AA17" s="2"/>
      <c r="AB17" s="25"/>
    </row>
    <row r="18" spans="2:28" x14ac:dyDescent="0.3">
      <c r="B18" s="2">
        <v>228</v>
      </c>
      <c r="C18" s="68"/>
      <c r="D18" s="71" t="s">
        <v>356</v>
      </c>
      <c r="E18" s="96" t="s">
        <v>355</v>
      </c>
      <c r="F18" s="70" t="e">
        <f>VLOOKUP(B18,REQUISICIÓN!$C$9:$E$125,3,0)</f>
        <v>#N/A</v>
      </c>
      <c r="G18" s="72" t="s">
        <v>9</v>
      </c>
      <c r="H18" s="14">
        <v>0</v>
      </c>
      <c r="I18" s="14">
        <v>0</v>
      </c>
      <c r="J18" s="15">
        <v>0</v>
      </c>
      <c r="K18" s="15">
        <v>86</v>
      </c>
      <c r="L18" s="15"/>
      <c r="M18" s="15">
        <v>0</v>
      </c>
      <c r="N18" s="15">
        <v>0</v>
      </c>
      <c r="O18" s="14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6">
        <f t="shared" si="1"/>
        <v>86</v>
      </c>
      <c r="W18" s="26" t="e">
        <f>VLOOKUP(B18,REQUISICIÓN!$C$9:$G$509,5,0)</f>
        <v>#N/A</v>
      </c>
      <c r="X18" s="2"/>
      <c r="Y18" s="2"/>
      <c r="Z18" s="25"/>
      <c r="AA18" s="2"/>
      <c r="AB18" s="25"/>
    </row>
    <row r="19" spans="2:28" hidden="1" x14ac:dyDescent="0.3">
      <c r="B19" s="2">
        <v>15</v>
      </c>
      <c r="C19" s="68"/>
      <c r="D19" s="71">
        <v>301730</v>
      </c>
      <c r="E19" s="61" t="s">
        <v>299</v>
      </c>
      <c r="F19" s="70" t="e">
        <f>VLOOKUP(B19,REQUISICIÓN!$C$9:$E$125,3,0)</f>
        <v>#N/A</v>
      </c>
      <c r="G19" s="70" t="s">
        <v>9</v>
      </c>
      <c r="H19" s="14">
        <v>135</v>
      </c>
      <c r="I19" s="14"/>
      <c r="J19" s="14">
        <v>170</v>
      </c>
      <c r="K19" s="14"/>
      <c r="L19" s="14"/>
      <c r="M19" s="15">
        <v>0</v>
      </c>
      <c r="N19" s="15"/>
      <c r="O19" s="14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6">
        <f t="shared" si="1"/>
        <v>135</v>
      </c>
      <c r="W19" s="26" t="e">
        <f>VLOOKUP(B19,REQUISICIÓN!$C$9:$G$509,5,0)</f>
        <v>#N/A</v>
      </c>
      <c r="X19" s="25"/>
      <c r="Y19" s="2"/>
      <c r="Z19" s="73"/>
      <c r="AA19" s="25"/>
      <c r="AB19" s="25"/>
    </row>
    <row r="20" spans="2:28" x14ac:dyDescent="0.3">
      <c r="B20" s="2">
        <v>140</v>
      </c>
      <c r="C20" s="68"/>
      <c r="D20" s="71" t="s">
        <v>357</v>
      </c>
      <c r="E20" s="96" t="s">
        <v>300</v>
      </c>
      <c r="F20" s="70" t="e">
        <f>VLOOKUP(B20,REQUISICIÓN!$C$9:$E$125,3,0)</f>
        <v>#N/A</v>
      </c>
      <c r="G20" s="70" t="s">
        <v>9</v>
      </c>
      <c r="H20" s="14">
        <v>0</v>
      </c>
      <c r="I20" s="14"/>
      <c r="J20" s="14">
        <v>85</v>
      </c>
      <c r="K20" s="14">
        <v>86</v>
      </c>
      <c r="L20" s="14"/>
      <c r="M20" s="15">
        <v>0</v>
      </c>
      <c r="N20" s="15"/>
      <c r="O20" s="14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6">
        <f t="shared" si="1"/>
        <v>85</v>
      </c>
      <c r="W20" s="26" t="e">
        <f>VLOOKUP(B20,REQUISICIÓN!$C$9:$G$509,5,0)</f>
        <v>#N/A</v>
      </c>
      <c r="X20" s="25"/>
      <c r="Y20" s="2"/>
      <c r="Z20" s="73"/>
      <c r="AA20" s="25"/>
      <c r="AB20" s="25"/>
    </row>
    <row r="21" spans="2:28" ht="14.4" hidden="1" customHeight="1" x14ac:dyDescent="0.3">
      <c r="B21" s="2">
        <v>75</v>
      </c>
      <c r="C21" s="68"/>
      <c r="D21" s="71">
        <v>301973</v>
      </c>
      <c r="E21" s="61" t="s">
        <v>209</v>
      </c>
      <c r="F21" s="70" t="e">
        <f>VLOOKUP(B21,REQUISICIÓN!$C$9:$E$125,3,0)</f>
        <v>#N/A</v>
      </c>
      <c r="G21" s="70" t="s">
        <v>87</v>
      </c>
      <c r="H21" s="14">
        <v>123.5</v>
      </c>
      <c r="I21" s="14"/>
      <c r="J21" s="15">
        <v>0</v>
      </c>
      <c r="K21" s="15"/>
      <c r="L21" s="15"/>
      <c r="M21" s="14">
        <v>120.66670000000001</v>
      </c>
      <c r="N21" s="14"/>
      <c r="O21" s="14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6">
        <f t="shared" si="1"/>
        <v>120.66670000000001</v>
      </c>
      <c r="W21" s="26" t="e">
        <f>VLOOKUP(B21,REQUISICIÓN!$C$9:$G$509,5,0)</f>
        <v>#N/A</v>
      </c>
      <c r="X21" s="25"/>
      <c r="Y21" s="2"/>
      <c r="Z21" s="73"/>
      <c r="AA21" s="25"/>
      <c r="AB21" s="25" t="e">
        <f>VLOOKUP(#REF!,REQUISICIÓN!#REF!,6,0)</f>
        <v>#REF!</v>
      </c>
    </row>
    <row r="22" spans="2:28" hidden="1" x14ac:dyDescent="0.3">
      <c r="B22" s="2">
        <v>152</v>
      </c>
      <c r="C22" s="68"/>
      <c r="D22" s="71" t="s">
        <v>153</v>
      </c>
      <c r="E22" s="61" t="s">
        <v>154</v>
      </c>
      <c r="F22" s="70" t="e">
        <f>VLOOKUP(B22,REQUISICIÓN!$C$9:$E$125,3,0)</f>
        <v>#N/A</v>
      </c>
      <c r="G22" s="72" t="s">
        <v>9</v>
      </c>
      <c r="H22" s="14">
        <v>0</v>
      </c>
      <c r="I22" s="14"/>
      <c r="J22" s="15">
        <v>0</v>
      </c>
      <c r="K22" s="15"/>
      <c r="L22" s="15"/>
      <c r="M22" s="15">
        <v>0</v>
      </c>
      <c r="N22" s="15"/>
      <c r="O22" s="14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6" t="e">
        <f t="shared" si="1"/>
        <v>#NUM!</v>
      </c>
      <c r="W22" s="26" t="e">
        <f>VLOOKUP(B22,REQUISICIÓN!$C$9:$G$509,5,0)</f>
        <v>#N/A</v>
      </c>
      <c r="X22" s="2"/>
      <c r="Y22" s="2"/>
      <c r="Z22" s="25"/>
      <c r="AA22" s="2"/>
      <c r="AB22" s="25"/>
    </row>
    <row r="23" spans="2:28" ht="14.4" hidden="1" customHeight="1" x14ac:dyDescent="0.3">
      <c r="B23" s="2">
        <v>56</v>
      </c>
      <c r="C23" s="68">
        <v>30290326759</v>
      </c>
      <c r="D23" s="71">
        <v>0</v>
      </c>
      <c r="E23" s="61" t="s">
        <v>302</v>
      </c>
      <c r="F23" s="70" t="e">
        <f>VLOOKUP(B23,REQUISICIÓN!$C$9:$E$125,3,0)</f>
        <v>#N/A</v>
      </c>
      <c r="G23" s="72" t="s">
        <v>303</v>
      </c>
      <c r="H23" s="14">
        <v>170.5</v>
      </c>
      <c r="I23" s="14"/>
      <c r="J23" s="15">
        <v>0</v>
      </c>
      <c r="K23" s="15"/>
      <c r="L23" s="15"/>
      <c r="M23" s="15">
        <v>0</v>
      </c>
      <c r="N23" s="15"/>
      <c r="O23" s="14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6">
        <f t="shared" si="1"/>
        <v>170.5</v>
      </c>
      <c r="W23" s="26" t="e">
        <f>VLOOKUP(B23,REQUISICIÓN!$C$9:$G$509,5,0)</f>
        <v>#N/A</v>
      </c>
      <c r="X23" s="25"/>
      <c r="Y23" s="25"/>
      <c r="Z23" s="25"/>
      <c r="AA23" s="25"/>
      <c r="AB23" s="25" t="s">
        <v>106</v>
      </c>
    </row>
    <row r="24" spans="2:28" ht="14.4" hidden="1" customHeight="1" x14ac:dyDescent="0.3">
      <c r="B24" s="2">
        <v>60</v>
      </c>
      <c r="C24" s="71"/>
      <c r="D24" s="71">
        <v>582509</v>
      </c>
      <c r="E24" s="61" t="s">
        <v>222</v>
      </c>
      <c r="F24" s="70" t="e">
        <f>VLOOKUP(B24,REQUISICIÓN!$C$9:$E$125,3,0)</f>
        <v>#N/A</v>
      </c>
      <c r="G24" s="70" t="e">
        <f>VLOOKUP(B24,REQUISICIÓN!$C$9:$F$12,4,0)</f>
        <v>#N/A</v>
      </c>
      <c r="H24" s="14">
        <v>320</v>
      </c>
      <c r="I24" s="14"/>
      <c r="J24" s="15">
        <v>0</v>
      </c>
      <c r="K24" s="15"/>
      <c r="L24" s="15"/>
      <c r="M24" s="15">
        <v>0</v>
      </c>
      <c r="N24" s="15"/>
      <c r="O24" s="14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6">
        <f t="shared" si="1"/>
        <v>320</v>
      </c>
      <c r="W24" s="26" t="e">
        <f>VLOOKUP(B24,REQUISICIÓN!$C$9:$G$509,5,0)</f>
        <v>#N/A</v>
      </c>
      <c r="X24" s="25"/>
      <c r="Y24" s="25"/>
      <c r="Z24" s="25"/>
      <c r="AA24" s="25"/>
      <c r="AB24" s="25" t="e">
        <f>VLOOKUP(#REF!,REQUISICIÓN!#REF!,6,0)</f>
        <v>#REF!</v>
      </c>
    </row>
    <row r="25" spans="2:28" hidden="1" x14ac:dyDescent="0.3">
      <c r="B25" s="2">
        <v>93</v>
      </c>
      <c r="C25" s="71"/>
      <c r="D25" s="69">
        <v>0</v>
      </c>
      <c r="E25" s="61" t="s">
        <v>223</v>
      </c>
      <c r="F25" s="70" t="e">
        <f>VLOOKUP(B25,REQUISICIÓN!$C$9:$E$125,3,0)</f>
        <v>#N/A</v>
      </c>
      <c r="G25" s="70" t="s">
        <v>4</v>
      </c>
      <c r="H25" s="14">
        <v>141.69999999999999</v>
      </c>
      <c r="I25" s="14"/>
      <c r="J25" s="14">
        <v>55</v>
      </c>
      <c r="K25" s="14"/>
      <c r="L25" s="14"/>
      <c r="M25" s="15">
        <v>0</v>
      </c>
      <c r="N25" s="15"/>
      <c r="O25" s="14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6">
        <f t="shared" si="1"/>
        <v>55</v>
      </c>
      <c r="W25" s="26" t="e">
        <f>VLOOKUP(B25,REQUISICIÓN!$C$9:$G$509,5,0)</f>
        <v>#N/A</v>
      </c>
      <c r="X25" s="25"/>
      <c r="Y25" s="25"/>
      <c r="Z25" s="25"/>
      <c r="AA25" s="25"/>
      <c r="AB25" s="25" t="s">
        <v>107</v>
      </c>
    </row>
    <row r="26" spans="2:28" hidden="1" x14ac:dyDescent="0.3">
      <c r="B26" s="2">
        <v>201</v>
      </c>
      <c r="C26" s="71">
        <v>7501048350537</v>
      </c>
      <c r="D26" s="69">
        <v>0</v>
      </c>
      <c r="E26" s="61" t="s">
        <v>213</v>
      </c>
      <c r="F26" s="70" t="e">
        <f>VLOOKUP(B26,REQUISICIÓN!$C$9:$E$125,3,0)</f>
        <v>#N/A</v>
      </c>
      <c r="G26" s="70" t="s">
        <v>4</v>
      </c>
      <c r="H26" s="14"/>
      <c r="I26" s="14"/>
      <c r="J26" s="14"/>
      <c r="K26" s="14"/>
      <c r="L26" s="14"/>
      <c r="M26" s="15"/>
      <c r="N26" s="15"/>
      <c r="O26" s="14">
        <v>0</v>
      </c>
      <c r="P26" s="15">
        <v>9.81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f t="shared" si="1"/>
        <v>9.81</v>
      </c>
      <c r="W26" s="26" t="e">
        <f>VLOOKUP(B26,REQUISICIÓN!$C$9:$G$509,5,0)</f>
        <v>#N/A</v>
      </c>
      <c r="X26" s="25"/>
      <c r="Y26" s="25"/>
      <c r="Z26" s="25"/>
      <c r="AA26" s="25"/>
      <c r="AB26" s="25"/>
    </row>
    <row r="27" spans="2:28" hidden="1" x14ac:dyDescent="0.3">
      <c r="B27" s="2">
        <v>202</v>
      </c>
      <c r="C27" s="71">
        <v>7501048351404</v>
      </c>
      <c r="D27" s="69">
        <v>0</v>
      </c>
      <c r="E27" s="61" t="s">
        <v>214</v>
      </c>
      <c r="F27" s="70" t="e">
        <f>VLOOKUP(B27,REQUISICIÓN!$C$9:$E$125,3,0)</f>
        <v>#N/A</v>
      </c>
      <c r="G27" s="70" t="s">
        <v>4</v>
      </c>
      <c r="H27" s="14"/>
      <c r="I27" s="14"/>
      <c r="J27" s="14"/>
      <c r="K27" s="14"/>
      <c r="L27" s="14"/>
      <c r="M27" s="15"/>
      <c r="N27" s="15"/>
      <c r="O27" s="14"/>
      <c r="P27" s="15">
        <v>28.39</v>
      </c>
      <c r="Q27" s="15"/>
      <c r="R27" s="15"/>
      <c r="S27" s="15"/>
      <c r="T27" s="15"/>
      <c r="U27" s="15"/>
      <c r="V27" s="16">
        <f t="shared" si="1"/>
        <v>28.39</v>
      </c>
      <c r="W27" s="26" t="e">
        <f>VLOOKUP(B27,REQUISICIÓN!$C$9:$G$509,5,0)</f>
        <v>#N/A</v>
      </c>
      <c r="X27" s="25"/>
      <c r="Y27" s="25"/>
      <c r="Z27" s="25"/>
      <c r="AA27" s="25"/>
      <c r="AB27" s="25"/>
    </row>
    <row r="28" spans="2:28" hidden="1" x14ac:dyDescent="0.3">
      <c r="B28" s="2">
        <v>203</v>
      </c>
      <c r="C28" s="71">
        <v>7501048350599</v>
      </c>
      <c r="D28" s="69">
        <v>0</v>
      </c>
      <c r="E28" s="61" t="s">
        <v>215</v>
      </c>
      <c r="F28" s="70" t="e">
        <f>VLOOKUP(B28,REQUISICIÓN!$C$9:$E$125,3,0)</f>
        <v>#N/A</v>
      </c>
      <c r="G28" s="70" t="s">
        <v>4</v>
      </c>
      <c r="H28" s="14"/>
      <c r="I28" s="14"/>
      <c r="J28" s="14"/>
      <c r="K28" s="14"/>
      <c r="L28" s="14"/>
      <c r="M28" s="15"/>
      <c r="N28" s="15"/>
      <c r="O28" s="14"/>
      <c r="P28" s="15">
        <v>47.39</v>
      </c>
      <c r="Q28" s="15"/>
      <c r="R28" s="15"/>
      <c r="S28" s="15"/>
      <c r="T28" s="15"/>
      <c r="U28" s="15"/>
      <c r="V28" s="16">
        <f t="shared" si="1"/>
        <v>47.39</v>
      </c>
      <c r="W28" s="26" t="e">
        <f>VLOOKUP(B28,REQUISICIÓN!$C$9:$G$509,5,0)</f>
        <v>#N/A</v>
      </c>
      <c r="X28" s="25"/>
      <c r="Y28" s="25"/>
      <c r="Z28" s="25"/>
      <c r="AA28" s="25"/>
      <c r="AB28" s="25"/>
    </row>
    <row r="29" spans="2:28" x14ac:dyDescent="0.3">
      <c r="B29" s="2">
        <v>247</v>
      </c>
      <c r="C29" s="71">
        <v>7501048333202</v>
      </c>
      <c r="D29" s="69"/>
      <c r="E29" s="96" t="s">
        <v>382</v>
      </c>
      <c r="F29" s="70" t="e">
        <f>VLOOKUP(B29,REQUISICIÓN!$C$9:$E$125,3,0)</f>
        <v>#N/A</v>
      </c>
      <c r="G29" s="70" t="s">
        <v>4</v>
      </c>
      <c r="H29" s="14"/>
      <c r="I29" s="14"/>
      <c r="J29" s="14"/>
      <c r="K29" s="14">
        <v>49.5</v>
      </c>
      <c r="L29" s="14"/>
      <c r="M29" s="15"/>
      <c r="N29" s="15"/>
      <c r="O29" s="14"/>
      <c r="P29" s="15"/>
      <c r="Q29" s="15"/>
      <c r="R29" s="15"/>
      <c r="S29" s="15"/>
      <c r="T29" s="15"/>
      <c r="U29" s="15"/>
      <c r="V29" s="16">
        <f t="shared" si="1"/>
        <v>49.5</v>
      </c>
      <c r="W29" s="26" t="e">
        <f>VLOOKUP(B29,REQUISICIÓN!$C$9:$G$509,5,0)</f>
        <v>#N/A</v>
      </c>
      <c r="X29" s="25"/>
      <c r="Y29" s="25"/>
      <c r="Z29" s="25"/>
      <c r="AA29" s="25"/>
      <c r="AB29" s="25"/>
    </row>
    <row r="30" spans="2:28" hidden="1" x14ac:dyDescent="0.3">
      <c r="B30" s="2">
        <v>204</v>
      </c>
      <c r="C30" s="71">
        <v>7501048351411</v>
      </c>
      <c r="D30" s="69">
        <v>0</v>
      </c>
      <c r="E30" s="61" t="s">
        <v>216</v>
      </c>
      <c r="F30" s="70" t="e">
        <f>VLOOKUP(B30,REQUISICIÓN!$C$9:$E$125,3,0)</f>
        <v>#N/A</v>
      </c>
      <c r="G30" s="70" t="s">
        <v>4</v>
      </c>
      <c r="H30" s="14"/>
      <c r="I30" s="14"/>
      <c r="J30" s="14"/>
      <c r="K30" s="14"/>
      <c r="L30" s="14"/>
      <c r="M30" s="15"/>
      <c r="N30" s="15"/>
      <c r="O30" s="14"/>
      <c r="P30" s="15">
        <v>92.73</v>
      </c>
      <c r="Q30" s="15"/>
      <c r="R30" s="15"/>
      <c r="S30" s="15"/>
      <c r="T30" s="15"/>
      <c r="U30" s="15"/>
      <c r="V30" s="16">
        <f t="shared" si="1"/>
        <v>92.73</v>
      </c>
      <c r="W30" s="26" t="e">
        <f>VLOOKUP(B30,REQUISICIÓN!$C$9:$G$509,5,0)</f>
        <v>#N/A</v>
      </c>
      <c r="X30" s="25"/>
      <c r="Y30" s="25"/>
      <c r="Z30" s="25"/>
      <c r="AA30" s="25"/>
      <c r="AB30" s="25"/>
    </row>
    <row r="31" spans="2:28" ht="14.4" hidden="1" customHeight="1" x14ac:dyDescent="0.3">
      <c r="B31" s="2">
        <v>148</v>
      </c>
      <c r="C31" s="71"/>
      <c r="D31" s="69">
        <v>7256901</v>
      </c>
      <c r="E31" s="61" t="s">
        <v>145</v>
      </c>
      <c r="F31" s="70">
        <f>VLOOKUP(B31,REQUISICIÓN!$C$9:$E$125,3,0)</f>
        <v>1</v>
      </c>
      <c r="G31" s="70" t="s">
        <v>9</v>
      </c>
      <c r="H31" s="14">
        <v>73.8</v>
      </c>
      <c r="I31" s="14">
        <v>73.8</v>
      </c>
      <c r="J31" s="15">
        <v>120</v>
      </c>
      <c r="K31" s="15"/>
      <c r="L31" s="15"/>
      <c r="M31" s="15">
        <v>0</v>
      </c>
      <c r="N31" s="15">
        <v>36.21</v>
      </c>
      <c r="O31" s="14">
        <v>91.29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6">
        <f t="shared" si="1"/>
        <v>36.21</v>
      </c>
      <c r="W31" s="26">
        <f>VLOOKUP(B31,REQUISICIÓN!$C$9:$G$509,5,0)</f>
        <v>41</v>
      </c>
      <c r="X31" s="25"/>
      <c r="Y31" s="25"/>
      <c r="Z31" s="25"/>
      <c r="AA31" s="25"/>
      <c r="AB31" s="25"/>
    </row>
    <row r="32" spans="2:28" ht="14.4" hidden="1" customHeight="1" x14ac:dyDescent="0.3">
      <c r="B32" s="2">
        <v>109</v>
      </c>
      <c r="C32" s="71">
        <v>7702136642286</v>
      </c>
      <c r="D32" s="71">
        <v>642296</v>
      </c>
      <c r="E32" s="61" t="s">
        <v>140</v>
      </c>
      <c r="F32" s="70" t="e">
        <f>VLOOKUP(B32,REQUISICIÓN!$C$9:$E$125,3,0)</f>
        <v>#N/A</v>
      </c>
      <c r="G32" s="70" t="s">
        <v>9</v>
      </c>
      <c r="H32" s="14">
        <v>32.9</v>
      </c>
      <c r="I32" s="14"/>
      <c r="J32" s="14"/>
      <c r="K32" s="14"/>
      <c r="L32" s="14"/>
      <c r="M32" s="15">
        <v>0</v>
      </c>
      <c r="N32" s="15"/>
      <c r="O32" s="14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6">
        <f t="shared" si="1"/>
        <v>32.9</v>
      </c>
      <c r="W32" s="26" t="e">
        <f>VLOOKUP(B32,REQUISICIÓN!$C$9:$G$509,5,0)</f>
        <v>#N/A</v>
      </c>
      <c r="X32" s="25"/>
      <c r="Y32" s="2"/>
      <c r="Z32" s="73"/>
      <c r="AA32" s="25"/>
      <c r="AB32" s="25"/>
    </row>
    <row r="33" spans="2:28" ht="14.4" customHeight="1" x14ac:dyDescent="0.3">
      <c r="B33" s="2">
        <v>242</v>
      </c>
      <c r="C33" s="71">
        <v>7501048658947</v>
      </c>
      <c r="D33" s="71"/>
      <c r="E33" s="96" t="s">
        <v>376</v>
      </c>
      <c r="F33" s="70" t="e">
        <f>VLOOKUP(B33,REQUISICIÓN!$C$9:$E$125,3,0)</f>
        <v>#N/A</v>
      </c>
      <c r="G33" s="70" t="s">
        <v>9</v>
      </c>
      <c r="H33" s="14"/>
      <c r="I33" s="14"/>
      <c r="J33" s="14"/>
      <c r="K33" s="14">
        <v>57</v>
      </c>
      <c r="L33" s="14"/>
      <c r="M33" s="15"/>
      <c r="N33" s="15"/>
      <c r="O33" s="14"/>
      <c r="P33" s="15"/>
      <c r="Q33" s="15"/>
      <c r="R33" s="15"/>
      <c r="S33" s="15"/>
      <c r="T33" s="15"/>
      <c r="U33" s="15"/>
      <c r="V33" s="16">
        <f t="shared" si="1"/>
        <v>57</v>
      </c>
      <c r="W33" s="26" t="e">
        <f>VLOOKUP(B33,REQUISICIÓN!$C$9:$G$509,5,0)</f>
        <v>#N/A</v>
      </c>
      <c r="X33" s="25"/>
      <c r="Y33" s="2"/>
      <c r="Z33" s="73"/>
      <c r="AA33" s="25"/>
      <c r="AB33" s="75"/>
    </row>
    <row r="34" spans="2:28" ht="14.4" hidden="1" customHeight="1" x14ac:dyDescent="0.3">
      <c r="B34" s="2">
        <v>19</v>
      </c>
      <c r="C34" s="68"/>
      <c r="D34" s="71">
        <v>503500</v>
      </c>
      <c r="E34" s="61" t="s">
        <v>224</v>
      </c>
      <c r="F34" s="70" t="e">
        <f>VLOOKUP(B34,REQUISICIÓN!$C$9:$E$125,3,0)</f>
        <v>#N/A</v>
      </c>
      <c r="G34" s="72" t="s">
        <v>74</v>
      </c>
      <c r="H34" s="14">
        <v>30.89</v>
      </c>
      <c r="I34" s="14"/>
      <c r="J34" s="15"/>
      <c r="K34" s="15"/>
      <c r="L34" s="15"/>
      <c r="M34" s="15">
        <v>0</v>
      </c>
      <c r="N34" s="15"/>
      <c r="O34" s="14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6">
        <f t="shared" si="1"/>
        <v>30.89</v>
      </c>
      <c r="W34" s="26" t="e">
        <f>VLOOKUP(B34,REQUISICIÓN!$C$9:$G$509,5,0)</f>
        <v>#N/A</v>
      </c>
      <c r="X34" s="25"/>
      <c r="Y34" s="25"/>
      <c r="Z34" s="25"/>
      <c r="AA34" s="25"/>
      <c r="AB34" s="75" t="s">
        <v>107</v>
      </c>
    </row>
    <row r="35" spans="2:28" ht="14.4" customHeight="1" x14ac:dyDescent="0.3">
      <c r="B35" s="2">
        <v>70</v>
      </c>
      <c r="C35" s="68"/>
      <c r="D35" s="71">
        <v>0</v>
      </c>
      <c r="E35" s="96" t="s">
        <v>131</v>
      </c>
      <c r="F35" s="70" t="e">
        <f>VLOOKUP(B35,REQUISICIÓN!$C$9:$E$125,3,0)</f>
        <v>#N/A</v>
      </c>
      <c r="G35" s="70" t="s">
        <v>4</v>
      </c>
      <c r="H35" s="14">
        <v>0</v>
      </c>
      <c r="I35" s="14"/>
      <c r="J35" s="14">
        <v>115</v>
      </c>
      <c r="K35" s="14">
        <v>25</v>
      </c>
      <c r="L35" s="14"/>
      <c r="M35" s="15">
        <v>0</v>
      </c>
      <c r="N35" s="15">
        <v>0</v>
      </c>
      <c r="O35" s="23">
        <v>30.33</v>
      </c>
      <c r="P35" s="15">
        <v>0</v>
      </c>
      <c r="Q35" s="14">
        <v>28</v>
      </c>
      <c r="R35" s="15">
        <v>0</v>
      </c>
      <c r="S35" s="15">
        <v>0</v>
      </c>
      <c r="T35" s="15">
        <v>0</v>
      </c>
      <c r="U35" s="15">
        <v>0</v>
      </c>
      <c r="V35" s="16">
        <f t="shared" si="1"/>
        <v>25</v>
      </c>
      <c r="W35" s="26" t="e">
        <f>VLOOKUP(B35,REQUISICIÓN!$C$9:$G$509,5,0)</f>
        <v>#N/A</v>
      </c>
      <c r="X35" s="25"/>
      <c r="Y35" s="2"/>
      <c r="Z35" s="73"/>
      <c r="AA35" s="25"/>
      <c r="AB35" s="25"/>
    </row>
    <row r="36" spans="2:28" hidden="1" x14ac:dyDescent="0.3">
      <c r="B36" s="2">
        <v>154</v>
      </c>
      <c r="C36" s="71"/>
      <c r="D36" s="71">
        <v>0</v>
      </c>
      <c r="E36" s="61" t="s">
        <v>155</v>
      </c>
      <c r="F36" s="70" t="e">
        <f>VLOOKUP(B36,REQUISICIÓN!$C$9:$E$125,3,0)</f>
        <v>#N/A</v>
      </c>
      <c r="G36" s="70" t="s">
        <v>4</v>
      </c>
      <c r="H36" s="14">
        <v>0</v>
      </c>
      <c r="I36" s="14"/>
      <c r="J36" s="15"/>
      <c r="K36" s="15"/>
      <c r="L36" s="15"/>
      <c r="M36" s="15">
        <v>0</v>
      </c>
      <c r="N36" s="15"/>
      <c r="O36" s="14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6" t="e">
        <f t="shared" si="1"/>
        <v>#NUM!</v>
      </c>
      <c r="W36" s="26" t="e">
        <f>VLOOKUP(B36,REQUISICIÓN!$C$9:$G$509,5,0)</f>
        <v>#N/A</v>
      </c>
      <c r="X36" s="2"/>
      <c r="Y36" s="2"/>
      <c r="Z36" s="25"/>
      <c r="AA36" s="2"/>
      <c r="AB36" s="76"/>
    </row>
    <row r="37" spans="2:28" ht="14.4" hidden="1" customHeight="1" x14ac:dyDescent="0.3">
      <c r="B37" s="2">
        <v>112</v>
      </c>
      <c r="C37" s="68"/>
      <c r="D37" s="69" t="s">
        <v>148</v>
      </c>
      <c r="E37" s="61" t="s">
        <v>132</v>
      </c>
      <c r="F37" s="70" t="e">
        <f>VLOOKUP(B37,REQUISICIÓN!$C$9:$E$125,3,0)</f>
        <v>#N/A</v>
      </c>
      <c r="G37" s="70" t="s">
        <v>4</v>
      </c>
      <c r="H37" s="14">
        <v>0</v>
      </c>
      <c r="I37" s="14"/>
      <c r="J37" s="15"/>
      <c r="K37" s="15"/>
      <c r="L37" s="15"/>
      <c r="M37" s="15">
        <v>0</v>
      </c>
      <c r="N37" s="15"/>
      <c r="O37" s="14">
        <v>0</v>
      </c>
      <c r="P37" s="15">
        <v>0</v>
      </c>
      <c r="Q37" s="14">
        <v>115</v>
      </c>
      <c r="R37" s="15">
        <v>0</v>
      </c>
      <c r="S37" s="15">
        <v>0</v>
      </c>
      <c r="T37" s="15">
        <v>0</v>
      </c>
      <c r="U37" s="15">
        <v>0</v>
      </c>
      <c r="V37" s="16">
        <f t="shared" si="1"/>
        <v>115</v>
      </c>
      <c r="W37" s="26" t="e">
        <f>VLOOKUP(B37,REQUISICIÓN!$C$9:$G$509,5,0)</f>
        <v>#N/A</v>
      </c>
      <c r="X37" s="25"/>
      <c r="Y37" s="2"/>
      <c r="Z37" s="73"/>
      <c r="AA37" s="74"/>
      <c r="AB37" s="25" t="s">
        <v>108</v>
      </c>
    </row>
    <row r="38" spans="2:28" ht="14.4" hidden="1" customHeight="1" x14ac:dyDescent="0.3">
      <c r="B38" s="2">
        <v>86</v>
      </c>
      <c r="C38" s="68"/>
      <c r="D38" s="69" t="s">
        <v>52</v>
      </c>
      <c r="E38" s="61" t="s">
        <v>50</v>
      </c>
      <c r="F38" s="70" t="e">
        <f>VLOOKUP(B38,REQUISICIÓN!$C$9:$E$125,3,0)</f>
        <v>#N/A</v>
      </c>
      <c r="G38" s="70" t="s">
        <v>51</v>
      </c>
      <c r="H38" s="14">
        <v>123</v>
      </c>
      <c r="I38" s="14"/>
      <c r="J38" s="14">
        <v>245</v>
      </c>
      <c r="K38" s="14"/>
      <c r="L38" s="14"/>
      <c r="M38" s="15">
        <v>0</v>
      </c>
      <c r="N38" s="15"/>
      <c r="O38" s="14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6">
        <f t="shared" si="1"/>
        <v>123</v>
      </c>
      <c r="W38" s="26" t="e">
        <f>VLOOKUP(B38,REQUISICIÓN!$C$9:$G$509,5,0)</f>
        <v>#N/A</v>
      </c>
      <c r="X38" s="25"/>
      <c r="Y38" s="25"/>
      <c r="Z38" s="25"/>
      <c r="AA38" s="25"/>
      <c r="AB38" s="25" t="s">
        <v>107</v>
      </c>
    </row>
    <row r="39" spans="2:28" hidden="1" x14ac:dyDescent="0.3">
      <c r="B39" s="2">
        <v>134</v>
      </c>
      <c r="C39" s="68"/>
      <c r="D39" s="71">
        <v>0</v>
      </c>
      <c r="E39" s="61" t="s">
        <v>113</v>
      </c>
      <c r="F39" s="70" t="e">
        <f>VLOOKUP(B39,REQUISICIÓN!$C$9:$E$125,3,0)</f>
        <v>#N/A</v>
      </c>
      <c r="G39" s="70" t="s">
        <v>4</v>
      </c>
      <c r="H39" s="14">
        <v>0</v>
      </c>
      <c r="I39" s="14"/>
      <c r="J39" s="15">
        <v>200</v>
      </c>
      <c r="K39" s="15"/>
      <c r="L39" s="15"/>
      <c r="M39" s="15">
        <v>0</v>
      </c>
      <c r="N39" s="15"/>
      <c r="O39" s="14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6">
        <f t="shared" si="1"/>
        <v>200</v>
      </c>
      <c r="W39" s="26" t="e">
        <f>VLOOKUP(B39,REQUISICIÓN!$C$9:$G$509,5,0)</f>
        <v>#N/A</v>
      </c>
      <c r="X39" s="2"/>
      <c r="Y39" s="2"/>
      <c r="Z39" s="73"/>
      <c r="AA39" s="2"/>
      <c r="AB39" s="25"/>
    </row>
    <row r="40" spans="2:28" hidden="1" x14ac:dyDescent="0.3">
      <c r="B40" s="2">
        <v>49</v>
      </c>
      <c r="C40" s="68"/>
      <c r="D40" s="71">
        <v>0</v>
      </c>
      <c r="E40" s="61" t="s">
        <v>100</v>
      </c>
      <c r="F40" s="70" t="e">
        <f>VLOOKUP(B40,REQUISICIÓN!$C$9:$E$125,3,0)</f>
        <v>#N/A</v>
      </c>
      <c r="G40" s="70" t="s">
        <v>4</v>
      </c>
      <c r="H40" s="14">
        <v>103</v>
      </c>
      <c r="I40" s="14"/>
      <c r="J40" s="15"/>
      <c r="K40" s="15"/>
      <c r="L40" s="15"/>
      <c r="M40" s="15">
        <v>0</v>
      </c>
      <c r="N40" s="15"/>
      <c r="O40" s="14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6">
        <f t="shared" si="1"/>
        <v>103</v>
      </c>
      <c r="W40" s="26" t="e">
        <f>VLOOKUP(B40,REQUISICIÓN!$C$9:$G$509,5,0)</f>
        <v>#N/A</v>
      </c>
      <c r="X40" s="25"/>
      <c r="Y40" s="2"/>
      <c r="Z40" s="73"/>
      <c r="AA40" s="25"/>
      <c r="AB40" s="25"/>
    </row>
    <row r="41" spans="2:28" ht="14.4" customHeight="1" x14ac:dyDescent="0.3">
      <c r="B41" s="2">
        <v>20</v>
      </c>
      <c r="C41" s="68"/>
      <c r="D41" s="71">
        <v>0</v>
      </c>
      <c r="E41" s="96" t="s">
        <v>133</v>
      </c>
      <c r="F41" s="70" t="e">
        <f>VLOOKUP(B41,REQUISICIÓN!$C$9:$E$125,3,0)</f>
        <v>#N/A</v>
      </c>
      <c r="G41" s="70" t="s">
        <v>4</v>
      </c>
      <c r="H41" s="14">
        <v>25</v>
      </c>
      <c r="I41" s="14"/>
      <c r="J41" s="14"/>
      <c r="K41" s="14">
        <f>125/10</f>
        <v>12.5</v>
      </c>
      <c r="L41" s="14"/>
      <c r="M41" s="15">
        <v>0</v>
      </c>
      <c r="N41" s="15"/>
      <c r="O41" s="14">
        <v>0</v>
      </c>
      <c r="P41" s="15">
        <v>0</v>
      </c>
      <c r="Q41" s="14">
        <v>12</v>
      </c>
      <c r="R41" s="15">
        <v>0</v>
      </c>
      <c r="S41" s="15">
        <v>0</v>
      </c>
      <c r="T41" s="15">
        <v>0</v>
      </c>
      <c r="U41" s="15">
        <v>0</v>
      </c>
      <c r="V41" s="16">
        <f t="shared" si="1"/>
        <v>12</v>
      </c>
      <c r="W41" s="26" t="e">
        <f>VLOOKUP(B41,REQUISICIÓN!$C$9:$G$509,5,0)</f>
        <v>#N/A</v>
      </c>
      <c r="X41" s="25"/>
      <c r="Y41" s="2"/>
      <c r="Z41" s="73"/>
      <c r="AA41" s="74"/>
      <c r="AB41" s="25" t="s">
        <v>107</v>
      </c>
    </row>
    <row r="42" spans="2:28" ht="14.4" hidden="1" customHeight="1" x14ac:dyDescent="0.3">
      <c r="B42" s="2">
        <v>1</v>
      </c>
      <c r="C42" s="68"/>
      <c r="D42" s="71">
        <v>0</v>
      </c>
      <c r="E42" s="61" t="s">
        <v>225</v>
      </c>
      <c r="F42" s="70" t="e">
        <f>VLOOKUP(B42,REQUISICIÓN!$C$9:$E$125,3,0)</f>
        <v>#N/A</v>
      </c>
      <c r="G42" s="70" t="s">
        <v>4</v>
      </c>
      <c r="H42" s="14">
        <v>31.8</v>
      </c>
      <c r="I42" s="14"/>
      <c r="J42" s="15">
        <v>650</v>
      </c>
      <c r="K42" s="15"/>
      <c r="L42" s="15"/>
      <c r="M42" s="15">
        <v>0</v>
      </c>
      <c r="N42" s="15"/>
      <c r="O42" s="14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6">
        <f t="shared" si="1"/>
        <v>31.8</v>
      </c>
      <c r="W42" s="26" t="e">
        <f>VLOOKUP(B42,REQUISICIÓN!$C$9:$G$509,5,0)</f>
        <v>#N/A</v>
      </c>
      <c r="X42" s="25"/>
      <c r="Y42" s="25"/>
      <c r="Z42" s="25"/>
      <c r="AA42" s="25"/>
      <c r="AB42" s="25"/>
    </row>
    <row r="43" spans="2:28" ht="14.4" hidden="1" customHeight="1" x14ac:dyDescent="0.3">
      <c r="B43" s="2">
        <v>2</v>
      </c>
      <c r="C43" s="68"/>
      <c r="D43" s="71">
        <v>0</v>
      </c>
      <c r="E43" s="61" t="s">
        <v>125</v>
      </c>
      <c r="F43" s="70" t="e">
        <f>VLOOKUP(B43,REQUISICIÓN!$C$9:$E$125,3,0)</f>
        <v>#N/A</v>
      </c>
      <c r="G43" s="70" t="s">
        <v>4</v>
      </c>
      <c r="H43" s="14">
        <v>19.2</v>
      </c>
      <c r="I43" s="14"/>
      <c r="J43" s="14">
        <v>1975</v>
      </c>
      <c r="K43" s="14"/>
      <c r="L43" s="14"/>
      <c r="M43" s="15">
        <v>0</v>
      </c>
      <c r="N43" s="15"/>
      <c r="O43" s="14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6">
        <f t="shared" si="1"/>
        <v>19.2</v>
      </c>
      <c r="W43" s="26" t="e">
        <f>VLOOKUP(B43,REQUISICIÓN!$C$9:$G$509,5,0)</f>
        <v>#N/A</v>
      </c>
      <c r="X43" s="25"/>
      <c r="Y43" s="25"/>
      <c r="Z43" s="25"/>
      <c r="AA43" s="25"/>
      <c r="AB43" s="25" t="s">
        <v>108</v>
      </c>
    </row>
    <row r="44" spans="2:28" ht="14.4" hidden="1" customHeight="1" x14ac:dyDescent="0.3">
      <c r="B44" s="2">
        <v>171</v>
      </c>
      <c r="C44" s="68"/>
      <c r="D44" s="71">
        <v>0</v>
      </c>
      <c r="E44" s="61" t="s">
        <v>156</v>
      </c>
      <c r="F44" s="70" t="e">
        <f>VLOOKUP(B44,REQUISICIÓN!$C$9:$E$125,3,0)</f>
        <v>#N/A</v>
      </c>
      <c r="G44" s="70" t="s">
        <v>4</v>
      </c>
      <c r="H44" s="14">
        <v>0</v>
      </c>
      <c r="I44" s="14"/>
      <c r="J44" s="15">
        <v>0</v>
      </c>
      <c r="K44" s="15"/>
      <c r="L44" s="15"/>
      <c r="M44" s="15">
        <v>0</v>
      </c>
      <c r="N44" s="15"/>
      <c r="O44" s="14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6" t="e">
        <f t="shared" si="1"/>
        <v>#NUM!</v>
      </c>
      <c r="W44" s="26" t="e">
        <f>VLOOKUP(B44,REQUISICIÓN!$C$9:$G$509,5,0)</f>
        <v>#N/A</v>
      </c>
      <c r="X44" s="2"/>
      <c r="Y44" s="2"/>
      <c r="Z44" s="25"/>
      <c r="AA44" s="2"/>
      <c r="AB44" s="25"/>
    </row>
    <row r="45" spans="2:28" ht="14.4" hidden="1" customHeight="1" x14ac:dyDescent="0.3">
      <c r="B45" s="2">
        <v>3</v>
      </c>
      <c r="C45" s="68"/>
      <c r="D45" s="71">
        <v>0</v>
      </c>
      <c r="E45" s="61" t="s">
        <v>126</v>
      </c>
      <c r="F45" s="70" t="e">
        <f>VLOOKUP(B45,REQUISICIÓN!$C$9:$E$125,3,0)</f>
        <v>#N/A</v>
      </c>
      <c r="G45" s="70" t="s">
        <v>4</v>
      </c>
      <c r="H45" s="14">
        <v>19.2</v>
      </c>
      <c r="I45" s="14"/>
      <c r="J45" s="14">
        <v>27</v>
      </c>
      <c r="K45" s="14"/>
      <c r="L45" s="14"/>
      <c r="M45" s="15">
        <v>0</v>
      </c>
      <c r="N45" s="15"/>
      <c r="O45" s="14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6">
        <f t="shared" si="1"/>
        <v>19.2</v>
      </c>
      <c r="W45" s="26" t="e">
        <f>VLOOKUP(B45,REQUISICIÓN!$C$9:$G$509,5,0)</f>
        <v>#N/A</v>
      </c>
      <c r="X45" s="25"/>
      <c r="Y45" s="25"/>
      <c r="Z45" s="25"/>
      <c r="AA45" s="25"/>
      <c r="AB45" s="25" t="s">
        <v>108</v>
      </c>
    </row>
    <row r="46" spans="2:28" hidden="1" x14ac:dyDescent="0.3">
      <c r="B46" s="2">
        <v>172</v>
      </c>
      <c r="C46" s="68"/>
      <c r="D46" s="71">
        <v>0</v>
      </c>
      <c r="E46" s="61" t="s">
        <v>157</v>
      </c>
      <c r="F46" s="70" t="e">
        <f>VLOOKUP(B46,REQUISICIÓN!$C$9:$E$125,3,0)</f>
        <v>#N/A</v>
      </c>
      <c r="G46" s="70" t="s">
        <v>4</v>
      </c>
      <c r="H46" s="14">
        <v>0</v>
      </c>
      <c r="I46" s="14"/>
      <c r="J46" s="15">
        <v>0</v>
      </c>
      <c r="K46" s="15"/>
      <c r="L46" s="15"/>
      <c r="M46" s="15">
        <v>0</v>
      </c>
      <c r="N46" s="15"/>
      <c r="O46" s="14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6" t="e">
        <f t="shared" si="1"/>
        <v>#NUM!</v>
      </c>
      <c r="W46" s="26" t="e">
        <f>VLOOKUP(B46,REQUISICIÓN!$C$9:$G$509,5,0)</f>
        <v>#N/A</v>
      </c>
      <c r="X46" s="2"/>
      <c r="Y46" s="2"/>
      <c r="Z46" s="25"/>
      <c r="AA46" s="2"/>
      <c r="AB46" s="25"/>
    </row>
    <row r="47" spans="2:28" ht="14.4" hidden="1" customHeight="1" x14ac:dyDescent="0.3">
      <c r="B47" s="2">
        <v>4</v>
      </c>
      <c r="C47" s="68"/>
      <c r="D47" s="71">
        <v>0</v>
      </c>
      <c r="E47" s="61" t="s">
        <v>226</v>
      </c>
      <c r="F47" s="70" t="e">
        <f>VLOOKUP(B47,REQUISICIÓN!$C$9:$E$125,3,0)</f>
        <v>#N/A</v>
      </c>
      <c r="G47" s="70" t="s">
        <v>4</v>
      </c>
      <c r="H47" s="14">
        <v>29</v>
      </c>
      <c r="I47" s="14"/>
      <c r="J47" s="14">
        <v>38</v>
      </c>
      <c r="K47" s="14"/>
      <c r="L47" s="14"/>
      <c r="M47" s="15">
        <v>0</v>
      </c>
      <c r="N47" s="15"/>
      <c r="O47" s="14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6">
        <f t="shared" si="1"/>
        <v>29</v>
      </c>
      <c r="W47" s="26" t="e">
        <f>VLOOKUP(B47,REQUISICIÓN!$C$9:$G$509,5,0)</f>
        <v>#N/A</v>
      </c>
      <c r="X47" s="25"/>
      <c r="Y47" s="25"/>
      <c r="Z47" s="25"/>
      <c r="AA47" s="25"/>
      <c r="AB47" s="25"/>
    </row>
    <row r="48" spans="2:28" ht="14.4" hidden="1" customHeight="1" x14ac:dyDescent="0.3">
      <c r="B48" s="2">
        <v>45</v>
      </c>
      <c r="C48" s="68"/>
      <c r="D48" s="71">
        <v>0</v>
      </c>
      <c r="E48" s="61" t="s">
        <v>227</v>
      </c>
      <c r="F48" s="70" t="e">
        <f>VLOOKUP(B48,REQUISICIÓN!$C$9:$E$125,3,0)</f>
        <v>#N/A</v>
      </c>
      <c r="G48" s="70" t="s">
        <v>4</v>
      </c>
      <c r="H48" s="14">
        <v>29</v>
      </c>
      <c r="I48" s="14"/>
      <c r="J48" s="14">
        <v>38</v>
      </c>
      <c r="K48" s="14"/>
      <c r="L48" s="14"/>
      <c r="M48" s="15">
        <v>0</v>
      </c>
      <c r="N48" s="15"/>
      <c r="O48" s="14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6">
        <f t="shared" si="1"/>
        <v>29</v>
      </c>
      <c r="W48" s="26" t="e">
        <f>VLOOKUP(B48,REQUISICIÓN!$C$9:$G$509,5,0)</f>
        <v>#N/A</v>
      </c>
      <c r="X48" s="25"/>
      <c r="Y48" s="2"/>
      <c r="Z48" s="73"/>
      <c r="AA48" s="25"/>
      <c r="AB48" s="25"/>
    </row>
    <row r="49" spans="2:28" ht="14.4" customHeight="1" x14ac:dyDescent="0.3">
      <c r="B49" s="2">
        <v>227</v>
      </c>
      <c r="C49" s="68"/>
      <c r="D49" s="71"/>
      <c r="E49" s="96" t="s">
        <v>354</v>
      </c>
      <c r="F49" s="70" t="e">
        <f>VLOOKUP(B49,REQUISICIÓN!$C$9:$E$125,3,0)</f>
        <v>#N/A</v>
      </c>
      <c r="G49" s="70" t="s">
        <v>4</v>
      </c>
      <c r="H49" s="14">
        <v>0</v>
      </c>
      <c r="I49" s="14">
        <v>0</v>
      </c>
      <c r="J49" s="14">
        <v>0</v>
      </c>
      <c r="K49" s="14">
        <v>510</v>
      </c>
      <c r="L49" s="14"/>
      <c r="M49" s="15">
        <v>0</v>
      </c>
      <c r="N49" s="15">
        <v>0</v>
      </c>
      <c r="O49" s="14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6">
        <f t="shared" si="1"/>
        <v>510</v>
      </c>
      <c r="W49" s="26" t="e">
        <f>VLOOKUP(B49,REQUISICIÓN!$C$9:$G$509,5,0)</f>
        <v>#N/A</v>
      </c>
      <c r="X49" s="25"/>
      <c r="Y49" s="2"/>
      <c r="Z49" s="73"/>
      <c r="AA49" s="25"/>
      <c r="AB49" s="25"/>
    </row>
    <row r="50" spans="2:28" ht="14.4" hidden="1" customHeight="1" x14ac:dyDescent="0.3">
      <c r="B50" s="2">
        <v>5</v>
      </c>
      <c r="C50" s="68"/>
      <c r="D50" s="71">
        <v>0</v>
      </c>
      <c r="E50" s="61" t="s">
        <v>127</v>
      </c>
      <c r="F50" s="70" t="e">
        <f>VLOOKUP(B50,REQUISICIÓN!$C$9:$E$125,3,0)</f>
        <v>#N/A</v>
      </c>
      <c r="G50" s="70" t="s">
        <v>4</v>
      </c>
      <c r="H50" s="14">
        <v>29</v>
      </c>
      <c r="I50" s="14"/>
      <c r="J50" s="14">
        <v>38</v>
      </c>
      <c r="K50" s="14"/>
      <c r="L50" s="14"/>
      <c r="M50" s="15">
        <v>0</v>
      </c>
      <c r="N50" s="15"/>
      <c r="O50" s="14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6">
        <f t="shared" si="1"/>
        <v>29</v>
      </c>
      <c r="W50" s="26" t="e">
        <f>VLOOKUP(B50,REQUISICIÓN!$C$9:$G$509,5,0)</f>
        <v>#N/A</v>
      </c>
      <c r="X50" s="25"/>
      <c r="Y50" s="25"/>
      <c r="Z50" s="25"/>
      <c r="AA50" s="25"/>
      <c r="AB50" s="25" t="s">
        <v>108</v>
      </c>
    </row>
    <row r="51" spans="2:28" hidden="1" x14ac:dyDescent="0.3">
      <c r="B51" s="2">
        <v>173</v>
      </c>
      <c r="C51" s="68"/>
      <c r="D51" s="71">
        <v>0</v>
      </c>
      <c r="E51" s="61" t="s">
        <v>158</v>
      </c>
      <c r="F51" s="70" t="e">
        <f>VLOOKUP(B51,REQUISICIÓN!$C$9:$E$125,3,0)</f>
        <v>#N/A</v>
      </c>
      <c r="G51" s="70" t="s">
        <v>4</v>
      </c>
      <c r="H51" s="14">
        <v>0</v>
      </c>
      <c r="I51" s="14"/>
      <c r="J51" s="15">
        <v>0</v>
      </c>
      <c r="K51" s="15"/>
      <c r="L51" s="15"/>
      <c r="M51" s="15">
        <v>0</v>
      </c>
      <c r="N51" s="15"/>
      <c r="O51" s="14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6" t="e">
        <f t="shared" si="1"/>
        <v>#NUM!</v>
      </c>
      <c r="W51" s="26" t="e">
        <f>VLOOKUP(B51,REQUISICIÓN!$C$9:$G$509,5,0)</f>
        <v>#N/A</v>
      </c>
      <c r="X51" s="2"/>
      <c r="Y51" s="2"/>
      <c r="Z51" s="25"/>
      <c r="AA51" s="2"/>
      <c r="AB51" s="25"/>
    </row>
    <row r="52" spans="2:28" hidden="1" x14ac:dyDescent="0.3">
      <c r="B52" s="2">
        <v>6</v>
      </c>
      <c r="C52" s="68"/>
      <c r="D52" s="71">
        <v>0</v>
      </c>
      <c r="E52" s="61" t="s">
        <v>128</v>
      </c>
      <c r="F52" s="70" t="e">
        <f>VLOOKUP(B52,REQUISICIÓN!$C$9:$E$125,3,0)</f>
        <v>#N/A</v>
      </c>
      <c r="G52" s="70" t="s">
        <v>4</v>
      </c>
      <c r="H52" s="14">
        <v>29</v>
      </c>
      <c r="I52" s="14"/>
      <c r="J52" s="14">
        <v>38</v>
      </c>
      <c r="K52" s="14"/>
      <c r="L52" s="14"/>
      <c r="M52" s="15">
        <v>0</v>
      </c>
      <c r="N52" s="15"/>
      <c r="O52" s="14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6">
        <f t="shared" si="1"/>
        <v>29</v>
      </c>
      <c r="W52" s="26" t="e">
        <f>VLOOKUP(B52,REQUISICIÓN!$C$9:$G$509,5,0)</f>
        <v>#N/A</v>
      </c>
      <c r="X52" s="25"/>
      <c r="Y52" s="25"/>
      <c r="Z52" s="25"/>
      <c r="AA52" s="25"/>
      <c r="AB52" s="25" t="s">
        <v>108</v>
      </c>
    </row>
    <row r="53" spans="2:28" ht="14.4" hidden="1" customHeight="1" x14ac:dyDescent="0.3">
      <c r="B53" s="2">
        <v>174</v>
      </c>
      <c r="C53" s="68"/>
      <c r="D53" s="71">
        <v>0</v>
      </c>
      <c r="E53" s="61" t="s">
        <v>159</v>
      </c>
      <c r="F53" s="70" t="e">
        <f>VLOOKUP(B53,REQUISICIÓN!$C$9:$E$125,3,0)</f>
        <v>#N/A</v>
      </c>
      <c r="G53" s="70" t="s">
        <v>4</v>
      </c>
      <c r="H53" s="14">
        <v>0</v>
      </c>
      <c r="I53" s="14"/>
      <c r="J53" s="15">
        <v>0</v>
      </c>
      <c r="K53" s="15"/>
      <c r="L53" s="15"/>
      <c r="M53" s="15">
        <v>0</v>
      </c>
      <c r="N53" s="15"/>
      <c r="O53" s="14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6" t="e">
        <f t="shared" si="1"/>
        <v>#NUM!</v>
      </c>
      <c r="W53" s="26" t="e">
        <f>VLOOKUP(B53,REQUISICIÓN!$C$9:$G$509,5,0)</f>
        <v>#N/A</v>
      </c>
      <c r="X53" s="2"/>
      <c r="Y53" s="2"/>
      <c r="Z53" s="25"/>
      <c r="AA53" s="2"/>
      <c r="AB53" s="25"/>
    </row>
    <row r="54" spans="2:28" ht="14.4" hidden="1" customHeight="1" x14ac:dyDescent="0.3">
      <c r="B54" s="2">
        <v>222</v>
      </c>
      <c r="C54" s="68"/>
      <c r="D54" s="71">
        <v>0</v>
      </c>
      <c r="E54" s="61" t="s">
        <v>129</v>
      </c>
      <c r="F54" s="70" t="e">
        <f>VLOOKUP(B54,REQUISICIÓN!$C$9:$E$125,3,0)</f>
        <v>#N/A</v>
      </c>
      <c r="G54" s="70" t="s">
        <v>4</v>
      </c>
      <c r="H54" s="14">
        <v>29</v>
      </c>
      <c r="I54" s="14"/>
      <c r="J54" s="14">
        <v>38</v>
      </c>
      <c r="K54" s="14"/>
      <c r="L54" s="14"/>
      <c r="M54" s="15">
        <v>0</v>
      </c>
      <c r="N54" s="15"/>
      <c r="O54" s="14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6">
        <f t="shared" si="1"/>
        <v>29</v>
      </c>
      <c r="W54" s="26" t="e">
        <f>VLOOKUP(B54,REQUISICIÓN!$C$9:$G$509,5,0)</f>
        <v>#N/A</v>
      </c>
      <c r="X54" s="25"/>
      <c r="Y54" s="25"/>
      <c r="Z54" s="25"/>
      <c r="AA54" s="25"/>
      <c r="AB54" s="25" t="s">
        <v>108</v>
      </c>
    </row>
    <row r="55" spans="2:28" ht="14.4" hidden="1" customHeight="1" x14ac:dyDescent="0.3">
      <c r="B55" s="2">
        <v>175</v>
      </c>
      <c r="C55" s="68"/>
      <c r="D55" s="71">
        <v>0</v>
      </c>
      <c r="E55" s="61" t="s">
        <v>160</v>
      </c>
      <c r="F55" s="70" t="e">
        <f>VLOOKUP(B55,REQUISICIÓN!$C$9:$E$125,3,0)</f>
        <v>#N/A</v>
      </c>
      <c r="G55" s="70" t="s">
        <v>4</v>
      </c>
      <c r="H55" s="14">
        <v>0</v>
      </c>
      <c r="I55" s="14"/>
      <c r="J55" s="15">
        <v>0</v>
      </c>
      <c r="K55" s="15"/>
      <c r="L55" s="15"/>
      <c r="M55" s="15">
        <v>0</v>
      </c>
      <c r="N55" s="15"/>
      <c r="O55" s="14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6" t="e">
        <f t="shared" si="1"/>
        <v>#NUM!</v>
      </c>
      <c r="W55" s="26" t="e">
        <f>VLOOKUP(B55,REQUISICIÓN!$C$9:$G$509,5,0)</f>
        <v>#N/A</v>
      </c>
      <c r="X55" s="2"/>
      <c r="Y55" s="2"/>
      <c r="Z55" s="25"/>
      <c r="AA55" s="2"/>
      <c r="AB55" s="25"/>
    </row>
    <row r="56" spans="2:28" ht="14.4" hidden="1" customHeight="1" x14ac:dyDescent="0.3">
      <c r="B56" s="2">
        <v>22</v>
      </c>
      <c r="C56" s="68"/>
      <c r="D56" s="71">
        <v>0</v>
      </c>
      <c r="E56" s="61" t="s">
        <v>130</v>
      </c>
      <c r="F56" s="70" t="e">
        <f>VLOOKUP(B56,REQUISICIÓN!$C$9:$E$125,3,0)</f>
        <v>#N/A</v>
      </c>
      <c r="G56" s="70" t="s">
        <v>4</v>
      </c>
      <c r="H56" s="14">
        <v>29</v>
      </c>
      <c r="I56" s="14"/>
      <c r="J56" s="14">
        <v>38</v>
      </c>
      <c r="K56" s="14"/>
      <c r="L56" s="14"/>
      <c r="M56" s="15">
        <v>0</v>
      </c>
      <c r="N56" s="15"/>
      <c r="O56" s="14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6">
        <f t="shared" si="1"/>
        <v>29</v>
      </c>
      <c r="W56" s="26" t="e">
        <f>VLOOKUP(B56,REQUISICIÓN!$C$9:$G$509,5,0)</f>
        <v>#N/A</v>
      </c>
      <c r="X56" s="25"/>
      <c r="Y56" s="25"/>
      <c r="Z56" s="25"/>
      <c r="AA56" s="25"/>
      <c r="AB56" s="25" t="s">
        <v>108</v>
      </c>
    </row>
    <row r="57" spans="2:28" ht="14.4" hidden="1" customHeight="1" x14ac:dyDescent="0.3">
      <c r="B57" s="2">
        <v>176</v>
      </c>
      <c r="C57" s="68"/>
      <c r="D57" s="71">
        <v>0</v>
      </c>
      <c r="E57" s="61" t="s">
        <v>161</v>
      </c>
      <c r="F57" s="70" t="e">
        <f>VLOOKUP(B57,REQUISICIÓN!$C$9:$E$125,3,0)</f>
        <v>#N/A</v>
      </c>
      <c r="G57" s="70" t="s">
        <v>4</v>
      </c>
      <c r="H57" s="14">
        <v>0</v>
      </c>
      <c r="I57" s="14"/>
      <c r="J57" s="15">
        <v>0</v>
      </c>
      <c r="K57" s="15"/>
      <c r="L57" s="15"/>
      <c r="M57" s="15">
        <v>0</v>
      </c>
      <c r="N57" s="15"/>
      <c r="O57" s="14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6" t="e">
        <f t="shared" si="1"/>
        <v>#NUM!</v>
      </c>
      <c r="W57" s="26" t="e">
        <f>VLOOKUP(B57,REQUISICIÓN!$C$9:$G$509,5,0)</f>
        <v>#N/A</v>
      </c>
      <c r="X57" s="2"/>
      <c r="Y57" s="2"/>
      <c r="Z57" s="25"/>
      <c r="AA57" s="2"/>
      <c r="AB57" s="25"/>
    </row>
    <row r="58" spans="2:28" ht="14.4" hidden="1" customHeight="1" x14ac:dyDescent="0.3">
      <c r="B58" s="2">
        <v>9</v>
      </c>
      <c r="C58" s="68"/>
      <c r="D58" s="71">
        <v>0</v>
      </c>
      <c r="E58" s="61" t="s">
        <v>228</v>
      </c>
      <c r="F58" s="70" t="e">
        <f>VLOOKUP(B58,REQUISICIÓN!$C$9:$E$125,3,0)</f>
        <v>#N/A</v>
      </c>
      <c r="G58" s="70" t="s">
        <v>4</v>
      </c>
      <c r="H58" s="14">
        <v>0</v>
      </c>
      <c r="I58" s="14"/>
      <c r="J58" s="15">
        <v>0</v>
      </c>
      <c r="K58" s="15"/>
      <c r="L58" s="15"/>
      <c r="M58" s="15">
        <v>0</v>
      </c>
      <c r="N58" s="15"/>
      <c r="O58" s="14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6" t="e">
        <f t="shared" si="1"/>
        <v>#NUM!</v>
      </c>
      <c r="W58" s="26" t="e">
        <f>VLOOKUP(B58,REQUISICIÓN!$C$9:$G$509,5,0)</f>
        <v>#N/A</v>
      </c>
      <c r="X58" s="25"/>
      <c r="Y58" s="25"/>
      <c r="Z58" s="25"/>
      <c r="AA58" s="25"/>
      <c r="AB58" s="25" t="s">
        <v>108</v>
      </c>
    </row>
    <row r="59" spans="2:28" ht="14.4" customHeight="1" x14ac:dyDescent="0.3">
      <c r="B59" s="2">
        <v>100</v>
      </c>
      <c r="C59" s="68"/>
      <c r="D59" s="69">
        <v>0</v>
      </c>
      <c r="E59" s="96" t="s">
        <v>229</v>
      </c>
      <c r="F59" s="70" t="e">
        <f>VLOOKUP(B59,REQUISICIÓN!$C$9:$E$125,3,0)</f>
        <v>#N/A</v>
      </c>
      <c r="G59" s="70" t="s">
        <v>4</v>
      </c>
      <c r="H59" s="14">
        <v>1242</v>
      </c>
      <c r="I59" s="14"/>
      <c r="J59" s="15">
        <v>0</v>
      </c>
      <c r="K59" s="15">
        <v>1628</v>
      </c>
      <c r="L59" s="15"/>
      <c r="M59" s="15">
        <v>0</v>
      </c>
      <c r="N59" s="15"/>
      <c r="O59" s="14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6">
        <f t="shared" si="1"/>
        <v>1242</v>
      </c>
      <c r="W59" s="26" t="e">
        <f>VLOOKUP(B59,REQUISICIÓN!$C$9:$G$509,5,0)</f>
        <v>#N/A</v>
      </c>
      <c r="X59" s="25"/>
      <c r="Y59" s="25"/>
      <c r="Z59" s="25"/>
      <c r="AA59" s="25"/>
      <c r="AB59" s="25" t="e">
        <f>VLOOKUP(#REF!,REQUISICIÓN!#REF!,6,0)</f>
        <v>#REF!</v>
      </c>
    </row>
    <row r="60" spans="2:28" ht="14.4" hidden="1" customHeight="1" x14ac:dyDescent="0.3">
      <c r="B60" s="2">
        <v>177</v>
      </c>
      <c r="C60" s="68"/>
      <c r="D60" s="71">
        <v>0</v>
      </c>
      <c r="E60" s="61" t="s">
        <v>162</v>
      </c>
      <c r="F60" s="70" t="e">
        <f>VLOOKUP(B60,REQUISICIÓN!$C$9:$E$125,3,0)</f>
        <v>#N/A</v>
      </c>
      <c r="G60" s="70" t="s">
        <v>4</v>
      </c>
      <c r="H60" s="14">
        <v>0</v>
      </c>
      <c r="I60" s="14"/>
      <c r="J60" s="15">
        <v>0</v>
      </c>
      <c r="K60" s="15"/>
      <c r="L60" s="15"/>
      <c r="M60" s="15">
        <v>0</v>
      </c>
      <c r="N60" s="15"/>
      <c r="O60" s="14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6" t="e">
        <f t="shared" si="1"/>
        <v>#NUM!</v>
      </c>
      <c r="W60" s="26" t="e">
        <f>VLOOKUP(B60,REQUISICIÓN!$C$9:$G$509,5,0)</f>
        <v>#N/A</v>
      </c>
      <c r="X60" s="2"/>
      <c r="Y60" s="2"/>
      <c r="Z60" s="25"/>
      <c r="AA60" s="2"/>
      <c r="AB60" s="25"/>
    </row>
    <row r="61" spans="2:28" ht="14.4" hidden="1" customHeight="1" x14ac:dyDescent="0.3">
      <c r="B61" s="2">
        <v>179</v>
      </c>
      <c r="C61" s="68"/>
      <c r="D61" s="71" t="s">
        <v>163</v>
      </c>
      <c r="E61" s="61" t="s">
        <v>164</v>
      </c>
      <c r="F61" s="70" t="e">
        <f>VLOOKUP(B61,REQUISICIÓN!$C$9:$E$125,3,0)</f>
        <v>#N/A</v>
      </c>
      <c r="G61" s="72" t="s">
        <v>11</v>
      </c>
      <c r="H61" s="14">
        <v>0</v>
      </c>
      <c r="I61" s="14"/>
      <c r="J61" s="15">
        <v>0</v>
      </c>
      <c r="K61" s="15"/>
      <c r="L61" s="15"/>
      <c r="M61" s="15">
        <v>0</v>
      </c>
      <c r="N61" s="15"/>
      <c r="O61" s="14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6" t="e">
        <f t="shared" si="1"/>
        <v>#NUM!</v>
      </c>
      <c r="W61" s="26" t="e">
        <f>VLOOKUP(B61,REQUISICIÓN!$C$9:$G$509,5,0)</f>
        <v>#N/A</v>
      </c>
      <c r="X61" s="2"/>
      <c r="Y61" s="2"/>
      <c r="Z61" s="25"/>
      <c r="AA61" s="2"/>
      <c r="AB61" s="25"/>
    </row>
    <row r="62" spans="2:28" ht="14.4" hidden="1" customHeight="1" x14ac:dyDescent="0.3">
      <c r="B62" s="2">
        <v>139</v>
      </c>
      <c r="C62" s="68"/>
      <c r="D62" s="71" t="s">
        <v>120</v>
      </c>
      <c r="E62" s="61" t="s">
        <v>230</v>
      </c>
      <c r="F62" s="70" t="e">
        <f>VLOOKUP(B62,REQUISICIÓN!$C$9:$E$125,3,0)</f>
        <v>#N/A</v>
      </c>
      <c r="G62" s="72" t="s">
        <v>11</v>
      </c>
      <c r="H62" s="14">
        <f>8.9*50</f>
        <v>445</v>
      </c>
      <c r="I62" s="14"/>
      <c r="J62" s="14">
        <v>545</v>
      </c>
      <c r="K62" s="14"/>
      <c r="L62" s="14"/>
      <c r="M62" s="15">
        <v>0</v>
      </c>
      <c r="N62" s="15"/>
      <c r="O62" s="14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6">
        <f t="shared" si="1"/>
        <v>445</v>
      </c>
      <c r="W62" s="26" t="e">
        <f>VLOOKUP(B62,REQUISICIÓN!$C$9:$G$509,5,0)</f>
        <v>#N/A</v>
      </c>
      <c r="X62" s="25"/>
      <c r="Y62" s="25"/>
      <c r="Z62" s="25"/>
      <c r="AA62" s="25"/>
      <c r="AB62" s="25" t="s">
        <v>108</v>
      </c>
    </row>
    <row r="63" spans="2:28" ht="14.4" hidden="1" customHeight="1" x14ac:dyDescent="0.3">
      <c r="B63" s="2">
        <v>69</v>
      </c>
      <c r="C63" s="68"/>
      <c r="D63" s="71" t="s">
        <v>114</v>
      </c>
      <c r="E63" s="61" t="s">
        <v>231</v>
      </c>
      <c r="F63" s="70" t="e">
        <f>VLOOKUP(B63,REQUISICIÓN!$C$9:$E$125,3,0)</f>
        <v>#N/A</v>
      </c>
      <c r="G63" s="72" t="s">
        <v>11</v>
      </c>
      <c r="H63" s="14">
        <v>0</v>
      </c>
      <c r="I63" s="14"/>
      <c r="J63" s="15">
        <v>0</v>
      </c>
      <c r="K63" s="15"/>
      <c r="L63" s="15"/>
      <c r="M63" s="15">
        <v>0</v>
      </c>
      <c r="N63" s="15"/>
      <c r="O63" s="14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6" t="e">
        <f t="shared" si="1"/>
        <v>#NUM!</v>
      </c>
      <c r="W63" s="26" t="e">
        <f>VLOOKUP(B63,REQUISICIÓN!$C$9:$G$509,5,0)</f>
        <v>#N/A</v>
      </c>
      <c r="X63" s="25"/>
      <c r="Y63" s="25"/>
      <c r="Z63" s="25"/>
      <c r="AA63" s="25"/>
      <c r="AB63" s="25" t="s">
        <v>108</v>
      </c>
    </row>
    <row r="64" spans="2:28" ht="14.4" hidden="1" customHeight="1" x14ac:dyDescent="0.3">
      <c r="B64" s="2">
        <v>178</v>
      </c>
      <c r="C64" s="68"/>
      <c r="D64" s="71" t="s">
        <v>165</v>
      </c>
      <c r="E64" s="61" t="s">
        <v>166</v>
      </c>
      <c r="F64" s="70" t="e">
        <f>VLOOKUP(B64,REQUISICIÓN!$C$9:$E$125,3,0)</f>
        <v>#N/A</v>
      </c>
      <c r="G64" s="72" t="s">
        <v>11</v>
      </c>
      <c r="H64" s="14">
        <v>0</v>
      </c>
      <c r="I64" s="14"/>
      <c r="J64" s="15">
        <v>0</v>
      </c>
      <c r="K64" s="15"/>
      <c r="L64" s="15"/>
      <c r="M64" s="15">
        <v>0</v>
      </c>
      <c r="N64" s="15"/>
      <c r="O64" s="14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6" t="e">
        <f t="shared" si="1"/>
        <v>#NUM!</v>
      </c>
      <c r="W64" s="26" t="e">
        <f>VLOOKUP(B64,REQUISICIÓN!$C$9:$G$509,5,0)</f>
        <v>#N/A</v>
      </c>
      <c r="X64" s="2"/>
      <c r="Y64" s="2"/>
      <c r="Z64" s="25"/>
      <c r="AA64" s="2"/>
      <c r="AB64" s="25"/>
    </row>
    <row r="65" spans="2:28" ht="14.4" customHeight="1" x14ac:dyDescent="0.3">
      <c r="B65" s="2">
        <v>58</v>
      </c>
      <c r="C65" s="68"/>
      <c r="D65" s="71" t="s">
        <v>95</v>
      </c>
      <c r="E65" s="96" t="s">
        <v>232</v>
      </c>
      <c r="F65" s="70" t="e">
        <f>VLOOKUP(B65,REQUISICIÓN!$C$9:$E$125,3,0)</f>
        <v>#N/A</v>
      </c>
      <c r="G65" s="70" t="s">
        <v>4</v>
      </c>
      <c r="H65" s="14">
        <v>8.4</v>
      </c>
      <c r="I65" s="14"/>
      <c r="J65" s="15">
        <v>0</v>
      </c>
      <c r="K65" s="15">
        <v>10</v>
      </c>
      <c r="L65" s="15"/>
      <c r="M65" s="15">
        <v>0</v>
      </c>
      <c r="N65" s="15"/>
      <c r="O65" s="14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6">
        <f t="shared" si="1"/>
        <v>8.4</v>
      </c>
      <c r="W65" s="26" t="e">
        <f>VLOOKUP(B65,REQUISICIÓN!$C$9:$G$509,5,0)</f>
        <v>#N/A</v>
      </c>
      <c r="X65" s="25"/>
      <c r="Y65" s="25"/>
      <c r="Z65" s="25"/>
      <c r="AA65" s="25"/>
      <c r="AB65" s="25" t="s">
        <v>108</v>
      </c>
    </row>
    <row r="66" spans="2:28" ht="14.4" hidden="1" customHeight="1" x14ac:dyDescent="0.3">
      <c r="B66" s="2">
        <v>180</v>
      </c>
      <c r="C66" s="68"/>
      <c r="D66" s="71" t="s">
        <v>167</v>
      </c>
      <c r="E66" s="61" t="s">
        <v>168</v>
      </c>
      <c r="F66" s="70" t="e">
        <f>VLOOKUP(B66,REQUISICIÓN!$C$9:$E$125,3,0)</f>
        <v>#N/A</v>
      </c>
      <c r="G66" s="77" t="s">
        <v>11</v>
      </c>
      <c r="H66" s="14">
        <v>0</v>
      </c>
      <c r="I66" s="14"/>
      <c r="J66" s="15">
        <v>0</v>
      </c>
      <c r="K66" s="15"/>
      <c r="L66" s="15"/>
      <c r="M66" s="15">
        <v>0</v>
      </c>
      <c r="N66" s="15"/>
      <c r="O66" s="14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6" t="e">
        <f t="shared" si="1"/>
        <v>#NUM!</v>
      </c>
      <c r="W66" s="26" t="e">
        <f>VLOOKUP(B66,REQUISICIÓN!$C$9:$G$509,5,0)</f>
        <v>#N/A</v>
      </c>
      <c r="X66" s="2"/>
      <c r="Y66" s="2"/>
      <c r="Z66" s="25"/>
      <c r="AA66" s="2"/>
      <c r="AB66" s="25"/>
    </row>
    <row r="67" spans="2:28" hidden="1" x14ac:dyDescent="0.3">
      <c r="B67" s="2">
        <v>59</v>
      </c>
      <c r="C67" s="68"/>
      <c r="D67" s="71" t="s">
        <v>116</v>
      </c>
      <c r="E67" s="96" t="s">
        <v>233</v>
      </c>
      <c r="F67" s="70" t="e">
        <f>VLOOKUP(B67,REQUISICIÓN!$C$9:$E$125,3,0)</f>
        <v>#N/A</v>
      </c>
      <c r="G67" s="78" t="s">
        <v>4</v>
      </c>
      <c r="H67" s="14">
        <v>7.9</v>
      </c>
      <c r="I67" s="14"/>
      <c r="J67" s="14">
        <f>545/50</f>
        <v>10.9</v>
      </c>
      <c r="K67" s="14"/>
      <c r="L67" s="14"/>
      <c r="M67" s="15">
        <v>0</v>
      </c>
      <c r="N67" s="15"/>
      <c r="O67" s="14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6">
        <f t="shared" si="1"/>
        <v>7.9</v>
      </c>
      <c r="W67" s="26" t="e">
        <f>VLOOKUP(B67,REQUISICIÓN!$C$9:$G$509,5,0)</f>
        <v>#N/A</v>
      </c>
      <c r="X67" s="25"/>
      <c r="Y67" s="25"/>
      <c r="Z67" s="25"/>
      <c r="AA67" s="25"/>
      <c r="AB67" s="25"/>
    </row>
    <row r="68" spans="2:28" ht="14.4" hidden="1" customHeight="1" x14ac:dyDescent="0.3">
      <c r="B68" s="2">
        <v>141</v>
      </c>
      <c r="C68" s="68"/>
      <c r="D68" s="71" t="s">
        <v>116</v>
      </c>
      <c r="E68" s="61" t="s">
        <v>234</v>
      </c>
      <c r="F68" s="70" t="e">
        <f>VLOOKUP(B68,REQUISICIÓN!$C$9:$E$125,3,0)</f>
        <v>#N/A</v>
      </c>
      <c r="G68" s="70" t="s">
        <v>87</v>
      </c>
      <c r="H68" s="14">
        <f>8.9*50</f>
        <v>445</v>
      </c>
      <c r="I68" s="14"/>
      <c r="J68" s="14">
        <f>545</f>
        <v>545</v>
      </c>
      <c r="K68" s="14"/>
      <c r="L68" s="14"/>
      <c r="M68" s="15">
        <v>0</v>
      </c>
      <c r="N68" s="15"/>
      <c r="O68" s="14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6">
        <f t="shared" si="1"/>
        <v>445</v>
      </c>
      <c r="W68" s="26" t="e">
        <f>VLOOKUP(B68,REQUISICIÓN!$C$9:$G$509,5,0)</f>
        <v>#N/A</v>
      </c>
      <c r="X68" s="25"/>
      <c r="Y68" s="25"/>
      <c r="Z68" s="25"/>
      <c r="AA68" s="25"/>
      <c r="AB68" s="25"/>
    </row>
    <row r="69" spans="2:28" ht="14.4" customHeight="1" x14ac:dyDescent="0.3">
      <c r="B69" s="2">
        <v>235</v>
      </c>
      <c r="C69" s="71">
        <v>7501563024531</v>
      </c>
      <c r="D69" s="71"/>
      <c r="E69" s="96" t="s">
        <v>369</v>
      </c>
      <c r="F69" s="70" t="e">
        <f>VLOOKUP(B69,REQUISICIÓN!$C$9:$E$125,3,0)</f>
        <v>#N/A</v>
      </c>
      <c r="G69" s="70" t="s">
        <v>87</v>
      </c>
      <c r="H69" s="14"/>
      <c r="I69" s="14"/>
      <c r="J69" s="14"/>
      <c r="K69" s="14">
        <v>10</v>
      </c>
      <c r="L69" s="14"/>
      <c r="M69" s="15"/>
      <c r="N69" s="15"/>
      <c r="O69" s="14"/>
      <c r="P69" s="15"/>
      <c r="Q69" s="15"/>
      <c r="R69" s="15"/>
      <c r="S69" s="15"/>
      <c r="T69" s="15"/>
      <c r="U69" s="15"/>
      <c r="V69" s="16">
        <f t="shared" si="1"/>
        <v>10</v>
      </c>
      <c r="W69" s="26" t="e">
        <f>VLOOKUP(B69,REQUISICIÓN!$C$9:$G$509,5,0)</f>
        <v>#N/A</v>
      </c>
      <c r="X69" s="25"/>
      <c r="Y69" s="25"/>
      <c r="Z69" s="25"/>
      <c r="AA69" s="25"/>
      <c r="AB69" s="25"/>
    </row>
    <row r="70" spans="2:28" ht="14.4" customHeight="1" x14ac:dyDescent="0.3">
      <c r="B70" s="2">
        <v>21</v>
      </c>
      <c r="C70" s="71">
        <v>100382903883141</v>
      </c>
      <c r="D70" s="71" t="s">
        <v>115</v>
      </c>
      <c r="E70" s="96" t="s">
        <v>235</v>
      </c>
      <c r="F70" s="70" t="e">
        <f>VLOOKUP(B70,REQUISICIÓN!$C$9:$E$125,3,0)</f>
        <v>#N/A</v>
      </c>
      <c r="G70" s="72" t="s">
        <v>4</v>
      </c>
      <c r="H70" s="14">
        <v>7.9</v>
      </c>
      <c r="I70" s="14"/>
      <c r="J70" s="15">
        <v>0</v>
      </c>
      <c r="K70" s="15">
        <v>10</v>
      </c>
      <c r="L70" s="15"/>
      <c r="M70" s="15">
        <v>0</v>
      </c>
      <c r="N70" s="15"/>
      <c r="O70" s="14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6">
        <f t="shared" si="1"/>
        <v>7.9</v>
      </c>
      <c r="W70" s="26" t="e">
        <f>VLOOKUP(B70,REQUISICIÓN!$C$9:$G$509,5,0)</f>
        <v>#N/A</v>
      </c>
      <c r="X70" s="25"/>
      <c r="Y70" s="25"/>
      <c r="Z70" s="25"/>
      <c r="AA70" s="25"/>
      <c r="AB70" s="25" t="s">
        <v>108</v>
      </c>
    </row>
    <row r="71" spans="2:28" ht="14.4" hidden="1" customHeight="1" x14ac:dyDescent="0.3">
      <c r="B71" s="2">
        <v>181</v>
      </c>
      <c r="C71" s="68"/>
      <c r="D71" s="71" t="s">
        <v>169</v>
      </c>
      <c r="E71" s="61" t="s">
        <v>170</v>
      </c>
      <c r="F71" s="70" t="e">
        <f>VLOOKUP(B71,REQUISICIÓN!$C$9:$E$125,3,0)</f>
        <v>#N/A</v>
      </c>
      <c r="G71" s="72" t="s">
        <v>11</v>
      </c>
      <c r="H71" s="14">
        <v>0</v>
      </c>
      <c r="I71" s="14"/>
      <c r="J71" s="15">
        <v>0</v>
      </c>
      <c r="K71" s="15"/>
      <c r="L71" s="15"/>
      <c r="M71" s="15">
        <v>0</v>
      </c>
      <c r="N71" s="15"/>
      <c r="O71" s="14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6" t="e">
        <f t="shared" si="1"/>
        <v>#NUM!</v>
      </c>
      <c r="W71" s="26" t="e">
        <f>VLOOKUP(B71,REQUISICIÓN!$C$9:$G$509,5,0)</f>
        <v>#N/A</v>
      </c>
      <c r="X71" s="2"/>
      <c r="Y71" s="2"/>
      <c r="Z71" s="25"/>
      <c r="AA71" s="2"/>
      <c r="AB71" s="25"/>
    </row>
    <row r="72" spans="2:28" ht="14.4" hidden="1" customHeight="1" x14ac:dyDescent="0.3">
      <c r="B72" s="2">
        <v>182</v>
      </c>
      <c r="C72" s="68"/>
      <c r="D72" s="71" t="s">
        <v>171</v>
      </c>
      <c r="E72" s="61" t="s">
        <v>172</v>
      </c>
      <c r="F72" s="70" t="e">
        <f>VLOOKUP(B72,REQUISICIÓN!$C$9:$E$125,3,0)</f>
        <v>#N/A</v>
      </c>
      <c r="G72" s="72" t="s">
        <v>11</v>
      </c>
      <c r="H72" s="14">
        <v>0</v>
      </c>
      <c r="I72" s="14"/>
      <c r="J72" s="15">
        <v>0</v>
      </c>
      <c r="K72" s="15"/>
      <c r="L72" s="15"/>
      <c r="M72" s="15">
        <v>0</v>
      </c>
      <c r="N72" s="15"/>
      <c r="O72" s="14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6" t="e">
        <f t="shared" si="1"/>
        <v>#NUM!</v>
      </c>
      <c r="W72" s="26" t="e">
        <f>VLOOKUP(B72,REQUISICIÓN!$C$9:$G$509,5,0)</f>
        <v>#N/A</v>
      </c>
      <c r="X72" s="2"/>
      <c r="Y72" s="2"/>
      <c r="Z72" s="25"/>
      <c r="AA72" s="2"/>
      <c r="AB72" s="25"/>
    </row>
    <row r="73" spans="2:28" ht="14.4" hidden="1" customHeight="1" x14ac:dyDescent="0.3">
      <c r="B73" s="2">
        <v>223</v>
      </c>
      <c r="C73" s="68"/>
      <c r="D73" s="71" t="s">
        <v>104</v>
      </c>
      <c r="E73" s="61" t="s">
        <v>236</v>
      </c>
      <c r="F73" s="70" t="e">
        <f>VLOOKUP(B73,REQUISICIÓN!$C$9:$E$125,3,0)</f>
        <v>#N/A</v>
      </c>
      <c r="G73" s="72" t="s">
        <v>4</v>
      </c>
      <c r="H73" s="14">
        <v>8.4</v>
      </c>
      <c r="I73" s="14"/>
      <c r="J73" s="15">
        <v>0</v>
      </c>
      <c r="K73" s="15"/>
      <c r="L73" s="15"/>
      <c r="M73" s="15">
        <v>0</v>
      </c>
      <c r="N73" s="15"/>
      <c r="O73" s="14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6">
        <f t="shared" ref="V73:V136" si="2">SMALL(H73:U73,COUNTIF(H73:U73,"&lt;=0")+1)</f>
        <v>8.4</v>
      </c>
      <c r="W73" s="26" t="e">
        <f>VLOOKUP(B73,REQUISICIÓN!$C$9:$G$509,5,0)</f>
        <v>#N/A</v>
      </c>
      <c r="X73" s="25"/>
      <c r="Y73" s="2"/>
      <c r="Z73" s="73"/>
      <c r="AA73" s="25"/>
      <c r="AB73" s="25" t="s">
        <v>107</v>
      </c>
    </row>
    <row r="74" spans="2:28" ht="14.4" hidden="1" customHeight="1" x14ac:dyDescent="0.3">
      <c r="B74" s="2">
        <v>183</v>
      </c>
      <c r="C74" s="68"/>
      <c r="D74" s="71" t="s">
        <v>173</v>
      </c>
      <c r="E74" s="61" t="s">
        <v>174</v>
      </c>
      <c r="F74" s="70" t="e">
        <f>VLOOKUP(B74,REQUISICIÓN!$C$9:$E$125,3,0)</f>
        <v>#N/A</v>
      </c>
      <c r="G74" s="72" t="s">
        <v>11</v>
      </c>
      <c r="H74" s="14">
        <v>0</v>
      </c>
      <c r="I74" s="14"/>
      <c r="J74" s="15">
        <v>0</v>
      </c>
      <c r="K74" s="15"/>
      <c r="L74" s="15"/>
      <c r="M74" s="15">
        <v>0</v>
      </c>
      <c r="N74" s="15"/>
      <c r="O74" s="14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6" t="e">
        <f t="shared" si="2"/>
        <v>#NUM!</v>
      </c>
      <c r="W74" s="26" t="e">
        <f>VLOOKUP(B74,REQUISICIÓN!$C$9:$G$509,5,0)</f>
        <v>#N/A</v>
      </c>
      <c r="X74" s="2"/>
      <c r="Y74" s="2"/>
      <c r="Z74" s="25"/>
      <c r="AA74" s="2"/>
      <c r="AB74" s="25"/>
    </row>
    <row r="75" spans="2:28" ht="14.4" hidden="1" customHeight="1" x14ac:dyDescent="0.3">
      <c r="B75" s="2">
        <v>23</v>
      </c>
      <c r="C75" s="71">
        <v>7501563014563</v>
      </c>
      <c r="D75" s="71" t="s">
        <v>71</v>
      </c>
      <c r="E75" s="61" t="s">
        <v>237</v>
      </c>
      <c r="F75" s="70" t="e">
        <f>VLOOKUP(B75,REQUISICIÓN!$C$9:$E$125,3,0)</f>
        <v>#N/A</v>
      </c>
      <c r="G75" s="72" t="s">
        <v>11</v>
      </c>
      <c r="H75" s="14">
        <f>445/50</f>
        <v>8.9</v>
      </c>
      <c r="I75" s="14"/>
      <c r="J75" s="15">
        <f>545/50</f>
        <v>10.9</v>
      </c>
      <c r="K75" s="15"/>
      <c r="L75" s="15"/>
      <c r="M75" s="15">
        <v>0</v>
      </c>
      <c r="N75" s="15"/>
      <c r="O75" s="14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6">
        <f t="shared" si="2"/>
        <v>8.9</v>
      </c>
      <c r="W75" s="26" t="e">
        <f>VLOOKUP(B75,REQUISICIÓN!$C$9:$G$509,5,0)</f>
        <v>#N/A</v>
      </c>
      <c r="X75" s="25"/>
      <c r="Y75" s="25"/>
      <c r="Z75" s="25"/>
      <c r="AA75" s="25"/>
      <c r="AB75" s="25" t="s">
        <v>108</v>
      </c>
    </row>
    <row r="76" spans="2:28" ht="14.4" hidden="1" customHeight="1" x14ac:dyDescent="0.3">
      <c r="B76" s="2">
        <v>224</v>
      </c>
      <c r="C76" s="71"/>
      <c r="D76" s="71">
        <v>4550250</v>
      </c>
      <c r="E76" s="100" t="s">
        <v>344</v>
      </c>
      <c r="F76" s="70">
        <f>VLOOKUP(B76,REQUISICIÓN!$C$9:$E$125,3,0)</f>
        <v>1</v>
      </c>
      <c r="G76" s="72" t="s">
        <v>11</v>
      </c>
      <c r="H76" s="14"/>
      <c r="I76" s="14"/>
      <c r="J76" s="15"/>
      <c r="K76" s="15"/>
      <c r="L76" s="15"/>
      <c r="M76" s="15"/>
      <c r="N76" s="15"/>
      <c r="O76" s="14">
        <v>0</v>
      </c>
      <c r="P76" s="15"/>
      <c r="Q76" s="15"/>
      <c r="R76" s="15"/>
      <c r="S76" s="15"/>
      <c r="T76" s="15"/>
      <c r="U76" s="15"/>
      <c r="V76" s="16" t="e">
        <f t="shared" si="2"/>
        <v>#NUM!</v>
      </c>
      <c r="W76" s="26">
        <f>VLOOKUP(B76,REQUISICIÓN!$C$9:$G$509,5,0)</f>
        <v>41</v>
      </c>
      <c r="X76" s="25"/>
      <c r="Y76" s="25"/>
      <c r="Z76" s="25"/>
      <c r="AA76" s="25"/>
      <c r="AB76" s="25"/>
    </row>
    <row r="77" spans="2:28" x14ac:dyDescent="0.3">
      <c r="B77" s="2">
        <v>57</v>
      </c>
      <c r="C77" s="68"/>
      <c r="D77" s="71">
        <v>934530</v>
      </c>
      <c r="E77" s="96" t="s">
        <v>238</v>
      </c>
      <c r="F77" s="70" t="e">
        <f>VLOOKUP(B77,REQUISICIÓN!$C$9:$E$125,3,0)</f>
        <v>#N/A</v>
      </c>
      <c r="G77" s="70" t="e">
        <f>VLOOKUP(B77,REQUISICIÓN!$C$9:$F$12,4,0)</f>
        <v>#N/A</v>
      </c>
      <c r="H77" s="14">
        <v>82.3</v>
      </c>
      <c r="I77" s="14">
        <v>0</v>
      </c>
      <c r="J77" s="15">
        <v>0</v>
      </c>
      <c r="K77" s="15">
        <f>1750/25</f>
        <v>70</v>
      </c>
      <c r="L77" s="15"/>
      <c r="M77" s="15">
        <v>0</v>
      </c>
      <c r="N77" s="15">
        <v>0</v>
      </c>
      <c r="O77" s="14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6">
        <f t="shared" si="2"/>
        <v>70</v>
      </c>
      <c r="W77" s="26" t="e">
        <f>VLOOKUP(B77,REQUISICIÓN!$C$9:$G$509,5,0)</f>
        <v>#N/A</v>
      </c>
      <c r="X77" s="25"/>
      <c r="Y77" s="2"/>
      <c r="Z77" s="73"/>
      <c r="AA77" s="25"/>
      <c r="AB77" s="25" t="s">
        <v>108</v>
      </c>
    </row>
    <row r="78" spans="2:28" hidden="1" x14ac:dyDescent="0.3">
      <c r="B78" s="2">
        <v>97</v>
      </c>
      <c r="C78" s="71"/>
      <c r="D78" s="69">
        <v>0</v>
      </c>
      <c r="E78" s="61" t="s">
        <v>27</v>
      </c>
      <c r="F78" s="70" t="e">
        <f>VLOOKUP(B78,REQUISICIÓN!$C$9:$E$125,3,0)</f>
        <v>#N/A</v>
      </c>
      <c r="G78" s="70" t="s">
        <v>4</v>
      </c>
      <c r="H78" s="14">
        <v>0</v>
      </c>
      <c r="I78" s="14"/>
      <c r="J78" s="15">
        <v>0</v>
      </c>
      <c r="K78" s="15"/>
      <c r="L78" s="15"/>
      <c r="M78" s="15">
        <v>0</v>
      </c>
      <c r="N78" s="15"/>
      <c r="O78" s="14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6" t="e">
        <f t="shared" si="2"/>
        <v>#NUM!</v>
      </c>
      <c r="W78" s="26" t="e">
        <f>VLOOKUP(B78,REQUISICIÓN!$C$9:$G$509,5,0)</f>
        <v>#N/A</v>
      </c>
      <c r="X78" s="25"/>
      <c r="Y78" s="25"/>
      <c r="Z78" s="25"/>
      <c r="AA78" s="25"/>
      <c r="AB78" s="25" t="s">
        <v>108</v>
      </c>
    </row>
    <row r="79" spans="2:28" x14ac:dyDescent="0.3">
      <c r="B79" s="2">
        <v>122</v>
      </c>
      <c r="C79" s="71">
        <v>7501125100130</v>
      </c>
      <c r="D79" s="71">
        <v>4000079</v>
      </c>
      <c r="E79" s="96" t="s">
        <v>294</v>
      </c>
      <c r="F79" s="70" t="e">
        <f>VLOOKUP(B79,REQUISICIÓN!$C$9:$E$125,3,0)</f>
        <v>#N/A</v>
      </c>
      <c r="G79" s="72" t="s">
        <v>17</v>
      </c>
      <c r="H79" s="14">
        <v>649</v>
      </c>
      <c r="I79" s="14"/>
      <c r="J79" s="14">
        <v>680</v>
      </c>
      <c r="K79" s="14">
        <f>42*12</f>
        <v>504</v>
      </c>
      <c r="L79" s="14"/>
      <c r="M79" s="15">
        <v>0</v>
      </c>
      <c r="N79" s="15"/>
      <c r="O79" s="14">
        <v>0</v>
      </c>
      <c r="P79" s="23">
        <f>69.27*12</f>
        <v>831.24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6">
        <f t="shared" si="2"/>
        <v>504</v>
      </c>
      <c r="W79" s="26" t="e">
        <f>VLOOKUP(B79,REQUISICIÓN!$C$9:$G$509,5,0)</f>
        <v>#N/A</v>
      </c>
      <c r="X79" s="25"/>
      <c r="Y79" s="2"/>
      <c r="Z79" s="73"/>
      <c r="AA79" s="25"/>
      <c r="AB79" s="25" t="s">
        <v>107</v>
      </c>
    </row>
    <row r="80" spans="2:28" hidden="1" x14ac:dyDescent="0.3">
      <c r="B80" s="2">
        <v>65</v>
      </c>
      <c r="C80" s="71">
        <v>7501125115479</v>
      </c>
      <c r="D80" s="71">
        <v>0</v>
      </c>
      <c r="E80" s="61" t="s">
        <v>77</v>
      </c>
      <c r="F80" s="70" t="e">
        <f>VLOOKUP(B80,REQUISICIÓN!$C$9:$E$125,3,0)</f>
        <v>#N/A</v>
      </c>
      <c r="G80" s="72" t="s">
        <v>11</v>
      </c>
      <c r="H80" s="14">
        <f>29.8*50</f>
        <v>1490</v>
      </c>
      <c r="I80" s="14"/>
      <c r="J80" s="14">
        <v>1475</v>
      </c>
      <c r="K80" s="14"/>
      <c r="L80" s="14"/>
      <c r="M80" s="15">
        <v>0</v>
      </c>
      <c r="N80" s="15"/>
      <c r="O80" s="14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6">
        <f t="shared" si="2"/>
        <v>1475</v>
      </c>
      <c r="W80" s="26" t="e">
        <f>VLOOKUP(B80,REQUISICIÓN!$C$9:$G$509,5,0)</f>
        <v>#N/A</v>
      </c>
      <c r="X80" s="25"/>
      <c r="Y80" s="2"/>
      <c r="Z80" s="73"/>
      <c r="AA80" s="25"/>
      <c r="AB80" s="25" t="s">
        <v>108</v>
      </c>
    </row>
    <row r="81" spans="2:28" x14ac:dyDescent="0.3">
      <c r="B81" s="2">
        <v>132</v>
      </c>
      <c r="C81" s="71">
        <v>7501125100123</v>
      </c>
      <c r="D81" s="71">
        <v>0</v>
      </c>
      <c r="E81" s="96" t="s">
        <v>102</v>
      </c>
      <c r="F81" s="70" t="e">
        <f>VLOOKUP(B81,REQUISICIÓN!$C$9:$E$125,3,0)</f>
        <v>#N/A</v>
      </c>
      <c r="G81" s="77" t="s">
        <v>103</v>
      </c>
      <c r="H81" s="14">
        <f>41.3*24</f>
        <v>991.19999999999993</v>
      </c>
      <c r="I81" s="14"/>
      <c r="J81" s="14">
        <f>930</f>
        <v>930</v>
      </c>
      <c r="K81" s="14">
        <f>40*24</f>
        <v>960</v>
      </c>
      <c r="L81" s="14"/>
      <c r="M81" s="15">
        <v>0</v>
      </c>
      <c r="N81" s="15"/>
      <c r="O81" s="14">
        <v>0</v>
      </c>
      <c r="P81" s="23">
        <f>48.12*24</f>
        <v>1154.8799999999999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6">
        <f t="shared" si="2"/>
        <v>930</v>
      </c>
      <c r="W81" s="26" t="e">
        <f>VLOOKUP(B81,REQUISICIÓN!$C$9:$G$509,5,0)</f>
        <v>#N/A</v>
      </c>
      <c r="X81" s="25"/>
      <c r="Y81" s="2"/>
      <c r="Z81" s="73"/>
      <c r="AA81" s="25"/>
      <c r="AB81" s="25" t="s">
        <v>109</v>
      </c>
    </row>
    <row r="82" spans="2:28" x14ac:dyDescent="0.3">
      <c r="B82" s="2">
        <v>209</v>
      </c>
      <c r="C82" s="71">
        <v>7501125100116</v>
      </c>
      <c r="D82" s="71">
        <v>0</v>
      </c>
      <c r="E82" s="96" t="s">
        <v>283</v>
      </c>
      <c r="F82" s="70" t="e">
        <f>VLOOKUP(B82,REQUISICIÓN!$C$9:$E$125,3,0)</f>
        <v>#N/A</v>
      </c>
      <c r="G82" s="77" t="s">
        <v>103</v>
      </c>
      <c r="H82" s="14">
        <f>34.7*24</f>
        <v>832.80000000000007</v>
      </c>
      <c r="I82" s="14"/>
      <c r="J82" s="14">
        <v>0</v>
      </c>
      <c r="K82" s="14">
        <f>48*24</f>
        <v>1152</v>
      </c>
      <c r="L82" s="14"/>
      <c r="M82" s="15">
        <v>0</v>
      </c>
      <c r="N82" s="15">
        <v>0</v>
      </c>
      <c r="O82" s="14">
        <v>0</v>
      </c>
      <c r="P82" s="23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6">
        <f t="shared" si="2"/>
        <v>832.80000000000007</v>
      </c>
      <c r="W82" s="26" t="e">
        <f>VLOOKUP(B82,REQUISICIÓN!$C$9:$G$509,5,0)</f>
        <v>#N/A</v>
      </c>
      <c r="X82" s="25"/>
      <c r="Y82" s="2"/>
      <c r="Z82" s="73"/>
      <c r="AA82" s="25"/>
      <c r="AB82" s="25"/>
    </row>
    <row r="83" spans="2:28" s="1" customFormat="1" ht="14.4" hidden="1" customHeight="1" x14ac:dyDescent="0.25">
      <c r="B83" s="79">
        <v>66</v>
      </c>
      <c r="C83" s="91">
        <v>7501125115462</v>
      </c>
      <c r="D83" s="71">
        <v>0</v>
      </c>
      <c r="E83" s="61" t="s">
        <v>78</v>
      </c>
      <c r="F83" s="70">
        <f>VLOOKUP(B83,REQUISICIÓN!$C$9:$E$125,3,0)</f>
        <v>1</v>
      </c>
      <c r="G83" s="72" t="s">
        <v>11</v>
      </c>
      <c r="H83" s="66">
        <f>25.3*50</f>
        <v>1265</v>
      </c>
      <c r="I83" s="66">
        <v>1265</v>
      </c>
      <c r="J83" s="66">
        <v>1250</v>
      </c>
      <c r="K83" s="66"/>
      <c r="L83" s="66"/>
      <c r="M83" s="67">
        <v>0</v>
      </c>
      <c r="N83" s="67">
        <v>0</v>
      </c>
      <c r="O83" s="66">
        <v>1718.4</v>
      </c>
      <c r="P83" s="67">
        <v>0</v>
      </c>
      <c r="Q83" s="67">
        <v>0</v>
      </c>
      <c r="R83" s="67">
        <v>0</v>
      </c>
      <c r="S83" s="67">
        <f>24*50</f>
        <v>1200</v>
      </c>
      <c r="T83" s="67">
        <v>0</v>
      </c>
      <c r="U83" s="67">
        <v>0</v>
      </c>
      <c r="V83" s="16">
        <f t="shared" si="2"/>
        <v>1200</v>
      </c>
      <c r="W83" s="26">
        <f>VLOOKUP(B83,REQUISICIÓN!$C$9:$G$509,5,0)</f>
        <v>41</v>
      </c>
      <c r="X83" s="92"/>
      <c r="Y83" s="79"/>
      <c r="Z83" s="93"/>
      <c r="AA83" s="92"/>
      <c r="AB83" s="92" t="s">
        <v>107</v>
      </c>
    </row>
    <row r="84" spans="2:28" ht="14.4" hidden="1" customHeight="1" x14ac:dyDescent="0.3">
      <c r="B84" s="2">
        <v>184</v>
      </c>
      <c r="C84" s="68"/>
      <c r="D84" s="71">
        <v>0</v>
      </c>
      <c r="E84" s="61" t="s">
        <v>177</v>
      </c>
      <c r="F84" s="70" t="e">
        <f>VLOOKUP(B84,REQUISICIÓN!$C$9:$E$125,3,0)</f>
        <v>#N/A</v>
      </c>
      <c r="G84" s="72" t="s">
        <v>4</v>
      </c>
      <c r="H84" s="14">
        <v>0</v>
      </c>
      <c r="I84" s="14"/>
      <c r="J84" s="15">
        <v>0</v>
      </c>
      <c r="K84" s="15"/>
      <c r="L84" s="15"/>
      <c r="M84" s="15">
        <v>0</v>
      </c>
      <c r="N84" s="15"/>
      <c r="O84" s="14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6" t="e">
        <f t="shared" si="2"/>
        <v>#NUM!</v>
      </c>
      <c r="W84" s="26" t="e">
        <f>VLOOKUP(B84,REQUISICIÓN!$C$9:$G$509,5,0)</f>
        <v>#N/A</v>
      </c>
      <c r="X84" s="2"/>
      <c r="Y84" s="2"/>
      <c r="Z84" s="25"/>
      <c r="AA84" s="2"/>
      <c r="AB84" s="25"/>
    </row>
    <row r="85" spans="2:28" ht="14.4" hidden="1" customHeight="1" x14ac:dyDescent="0.3">
      <c r="B85" s="2">
        <v>98</v>
      </c>
      <c r="C85" s="68"/>
      <c r="D85" s="71">
        <v>0</v>
      </c>
      <c r="E85" s="61" t="s">
        <v>28</v>
      </c>
      <c r="F85" s="70" t="e">
        <f>VLOOKUP(B85,REQUISICIÓN!$C$9:$E$125,3,0)</f>
        <v>#N/A</v>
      </c>
      <c r="G85" s="70" t="s">
        <v>4</v>
      </c>
      <c r="H85" s="14">
        <v>8.75</v>
      </c>
      <c r="I85" s="14"/>
      <c r="J85" s="14">
        <v>10</v>
      </c>
      <c r="K85" s="14"/>
      <c r="L85" s="14"/>
      <c r="M85" s="15">
        <v>0</v>
      </c>
      <c r="N85" s="15"/>
      <c r="O85" s="14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6">
        <f t="shared" si="2"/>
        <v>8.75</v>
      </c>
      <c r="W85" s="26" t="e">
        <f>VLOOKUP(B85,REQUISICIÓN!$C$9:$G$509,5,0)</f>
        <v>#N/A</v>
      </c>
      <c r="X85" s="25"/>
      <c r="Y85" s="25"/>
      <c r="Z85" s="25"/>
      <c r="AA85" s="25"/>
      <c r="AB85" s="25" t="s">
        <v>110</v>
      </c>
    </row>
    <row r="86" spans="2:28" ht="14.4" hidden="1" customHeight="1" x14ac:dyDescent="0.3">
      <c r="B86" s="2">
        <v>185</v>
      </c>
      <c r="C86" s="68"/>
      <c r="D86" s="71">
        <v>0</v>
      </c>
      <c r="E86" s="61" t="s">
        <v>178</v>
      </c>
      <c r="F86" s="70" t="e">
        <f>VLOOKUP(B86,REQUISICIÓN!$C$9:$E$125,3,0)</f>
        <v>#N/A</v>
      </c>
      <c r="G86" s="78" t="s">
        <v>4</v>
      </c>
      <c r="H86" s="14">
        <v>0</v>
      </c>
      <c r="I86" s="14"/>
      <c r="J86" s="15">
        <v>0</v>
      </c>
      <c r="K86" s="15"/>
      <c r="L86" s="15"/>
      <c r="M86" s="15">
        <v>0</v>
      </c>
      <c r="N86" s="15"/>
      <c r="O86" s="14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6" t="e">
        <f t="shared" si="2"/>
        <v>#NUM!</v>
      </c>
      <c r="W86" s="26" t="e">
        <f>VLOOKUP(B86,REQUISICIÓN!$C$9:$G$509,5,0)</f>
        <v>#N/A</v>
      </c>
      <c r="X86" s="2"/>
      <c r="Y86" s="2"/>
      <c r="Z86" s="25"/>
      <c r="AA86" s="2"/>
      <c r="AB86" s="25"/>
    </row>
    <row r="87" spans="2:28" hidden="1" x14ac:dyDescent="0.3">
      <c r="B87" s="2">
        <v>13</v>
      </c>
      <c r="C87" s="68"/>
      <c r="D87" s="71" t="s">
        <v>121</v>
      </c>
      <c r="E87" s="61" t="s">
        <v>239</v>
      </c>
      <c r="F87" s="70" t="e">
        <f>VLOOKUP(B87,REQUISICIÓN!$C$9:$E$125,3,0)</f>
        <v>#N/A</v>
      </c>
      <c r="G87" s="78" t="s">
        <v>4</v>
      </c>
      <c r="H87" s="14">
        <v>9.1</v>
      </c>
      <c r="I87" s="14"/>
      <c r="J87" s="14">
        <v>9</v>
      </c>
      <c r="K87" s="14"/>
      <c r="L87" s="14"/>
      <c r="M87" s="15">
        <v>0</v>
      </c>
      <c r="N87" s="15"/>
      <c r="O87" s="14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6">
        <f t="shared" si="2"/>
        <v>9</v>
      </c>
      <c r="W87" s="26" t="e">
        <f>VLOOKUP(B87,REQUISICIÓN!$C$9:$G$509,5,0)</f>
        <v>#N/A</v>
      </c>
      <c r="X87" s="25"/>
      <c r="Y87" s="25"/>
      <c r="Z87" s="25"/>
      <c r="AA87" s="25"/>
      <c r="AB87" s="25" t="s">
        <v>110</v>
      </c>
    </row>
    <row r="88" spans="2:28" ht="14.4" hidden="1" customHeight="1" x14ac:dyDescent="0.3">
      <c r="B88" s="2">
        <v>186</v>
      </c>
      <c r="C88" s="68"/>
      <c r="D88" s="71">
        <v>0</v>
      </c>
      <c r="E88" s="61" t="s">
        <v>8</v>
      </c>
      <c r="F88" s="70" t="e">
        <f>VLOOKUP(B88,REQUISICIÓN!$C$9:$E$125,3,0)</f>
        <v>#N/A</v>
      </c>
      <c r="G88" s="70" t="s">
        <v>4</v>
      </c>
      <c r="H88" s="14">
        <v>0</v>
      </c>
      <c r="I88" s="14"/>
      <c r="J88" s="15">
        <v>0</v>
      </c>
      <c r="K88" s="15"/>
      <c r="L88" s="15"/>
      <c r="M88" s="15">
        <v>0</v>
      </c>
      <c r="N88" s="15"/>
      <c r="O88" s="14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6" t="e">
        <f t="shared" si="2"/>
        <v>#NUM!</v>
      </c>
      <c r="W88" s="26" t="e">
        <f>VLOOKUP(B88,REQUISICIÓN!$C$9:$G$509,5,0)</f>
        <v>#N/A</v>
      </c>
      <c r="X88" s="2"/>
      <c r="Y88" s="2"/>
      <c r="Z88" s="25"/>
      <c r="AA88" s="2"/>
      <c r="AB88" s="25"/>
    </row>
    <row r="89" spans="2:28" ht="14.4" hidden="1" customHeight="1" x14ac:dyDescent="0.3">
      <c r="B89" s="2">
        <v>77</v>
      </c>
      <c r="C89" s="68"/>
      <c r="D89" s="71">
        <v>0</v>
      </c>
      <c r="E89" s="61" t="s">
        <v>97</v>
      </c>
      <c r="F89" s="70" t="e">
        <f>VLOOKUP(B89,REQUISICIÓN!$C$9:$E$125,3,0)</f>
        <v>#N/A</v>
      </c>
      <c r="G89" s="70" t="s">
        <v>4</v>
      </c>
      <c r="H89" s="14">
        <v>0</v>
      </c>
      <c r="I89" s="14"/>
      <c r="J89" s="15">
        <v>0</v>
      </c>
      <c r="K89" s="15"/>
      <c r="L89" s="15"/>
      <c r="M89" s="15">
        <v>0</v>
      </c>
      <c r="N89" s="15"/>
      <c r="O89" s="14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6" t="e">
        <f t="shared" si="2"/>
        <v>#NUM!</v>
      </c>
      <c r="W89" s="26" t="e">
        <f>VLOOKUP(B89,REQUISICIÓN!$C$9:$G$509,5,0)</f>
        <v>#N/A</v>
      </c>
      <c r="X89" s="25"/>
      <c r="Y89" s="25"/>
      <c r="Z89" s="25"/>
      <c r="AA89" s="25"/>
      <c r="AB89" s="25" t="s">
        <v>110</v>
      </c>
    </row>
    <row r="90" spans="2:28" hidden="1" x14ac:dyDescent="0.3">
      <c r="B90" s="2">
        <v>169</v>
      </c>
      <c r="C90" s="68"/>
      <c r="D90" s="71" t="s">
        <v>175</v>
      </c>
      <c r="E90" s="61" t="s">
        <v>176</v>
      </c>
      <c r="F90" s="70" t="e">
        <f>VLOOKUP(B90,REQUISICIÓN!$C$9:$E$125,3,0)</f>
        <v>#N/A</v>
      </c>
      <c r="G90" s="72" t="s">
        <v>4</v>
      </c>
      <c r="H90" s="14">
        <v>0</v>
      </c>
      <c r="I90" s="14"/>
      <c r="J90" s="15">
        <v>0</v>
      </c>
      <c r="K90" s="15"/>
      <c r="L90" s="15"/>
      <c r="M90" s="15">
        <v>0</v>
      </c>
      <c r="N90" s="15"/>
      <c r="O90" s="14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6" t="e">
        <f t="shared" si="2"/>
        <v>#NUM!</v>
      </c>
      <c r="W90" s="26" t="e">
        <f>VLOOKUP(B90,REQUISICIÓN!$C$9:$G$509,5,0)</f>
        <v>#N/A</v>
      </c>
      <c r="X90" s="2"/>
      <c r="Y90" s="2"/>
      <c r="Z90" s="25"/>
      <c r="AA90" s="2"/>
      <c r="AB90" s="25"/>
    </row>
    <row r="91" spans="2:28" hidden="1" x14ac:dyDescent="0.3">
      <c r="B91" s="2">
        <v>87</v>
      </c>
      <c r="C91" s="71"/>
      <c r="D91" s="71">
        <v>0</v>
      </c>
      <c r="E91" s="61" t="s">
        <v>10</v>
      </c>
      <c r="F91" s="70">
        <v>2</v>
      </c>
      <c r="G91" s="70" t="s">
        <v>11</v>
      </c>
      <c r="H91" s="14">
        <v>44</v>
      </c>
      <c r="I91" s="14">
        <v>94</v>
      </c>
      <c r="J91" s="14">
        <v>115</v>
      </c>
      <c r="K91" s="14"/>
      <c r="L91" s="14"/>
      <c r="M91" s="15">
        <v>0</v>
      </c>
      <c r="N91" s="15">
        <v>60</v>
      </c>
      <c r="O91" s="14">
        <v>78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6">
        <f t="shared" si="2"/>
        <v>44</v>
      </c>
      <c r="W91" s="26">
        <f>VLOOKUP(B91,REQUISICIÓN!$C$9:$G$509,5,0)</f>
        <v>41</v>
      </c>
      <c r="X91" s="25"/>
      <c r="Y91" s="2"/>
      <c r="Z91" s="73"/>
      <c r="AA91" s="74"/>
      <c r="AB91" s="25"/>
    </row>
    <row r="92" spans="2:28" x14ac:dyDescent="0.3">
      <c r="B92" s="2">
        <v>243</v>
      </c>
      <c r="C92" s="71"/>
      <c r="D92" s="71"/>
      <c r="E92" s="96" t="s">
        <v>377</v>
      </c>
      <c r="F92" s="98" t="e">
        <f>VLOOKUP(B92,REQUISICIÓN!$C$9:$E$125,3,0)</f>
        <v>#N/A</v>
      </c>
      <c r="G92" s="70" t="s">
        <v>11</v>
      </c>
      <c r="H92" s="14"/>
      <c r="I92" s="14"/>
      <c r="J92" s="14"/>
      <c r="K92" s="14">
        <v>7</v>
      </c>
      <c r="L92" s="14"/>
      <c r="M92" s="15"/>
      <c r="N92" s="15"/>
      <c r="O92" s="14"/>
      <c r="P92" s="15"/>
      <c r="Q92" s="15"/>
      <c r="R92" s="15"/>
      <c r="S92" s="15"/>
      <c r="T92" s="15"/>
      <c r="U92" s="15"/>
      <c r="V92" s="16">
        <f t="shared" si="2"/>
        <v>7</v>
      </c>
      <c r="W92" s="26" t="e">
        <f>VLOOKUP(B92,REQUISICIÓN!$C$9:$G$509,5,0)</f>
        <v>#N/A</v>
      </c>
      <c r="X92" s="25"/>
      <c r="Y92" s="2"/>
      <c r="Z92" s="73"/>
      <c r="AA92" s="74"/>
      <c r="AB92" s="25"/>
    </row>
    <row r="93" spans="2:28" s="158" customFormat="1" x14ac:dyDescent="0.3">
      <c r="B93" s="150">
        <v>229</v>
      </c>
      <c r="C93" s="152"/>
      <c r="D93" s="152"/>
      <c r="E93" s="96" t="s">
        <v>358</v>
      </c>
      <c r="F93" s="154" t="e">
        <f>VLOOKUP(B93,REQUISICIÓN!$C$9:$E$125,3,0)</f>
        <v>#N/A</v>
      </c>
      <c r="G93" s="154" t="s">
        <v>11</v>
      </c>
      <c r="H93" s="14">
        <v>0</v>
      </c>
      <c r="I93" s="14">
        <v>0</v>
      </c>
      <c r="J93" s="14">
        <v>0</v>
      </c>
      <c r="K93" s="14">
        <v>64</v>
      </c>
      <c r="L93" s="14"/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6">
        <f t="shared" si="2"/>
        <v>64</v>
      </c>
      <c r="W93" s="26" t="e">
        <f>VLOOKUP(B93,REQUISICIÓN!$C$9:$G$509,5,0)</f>
        <v>#N/A</v>
      </c>
      <c r="X93" s="156"/>
      <c r="Y93" s="150"/>
      <c r="Z93" s="157"/>
      <c r="AA93" s="162"/>
      <c r="AB93" s="156"/>
    </row>
    <row r="94" spans="2:28" s="158" customFormat="1" hidden="1" x14ac:dyDescent="0.3">
      <c r="B94" s="150">
        <v>253</v>
      </c>
      <c r="C94" s="152"/>
      <c r="D94" s="152"/>
      <c r="E94" s="96" t="s">
        <v>387</v>
      </c>
      <c r="F94" s="154" t="e">
        <f>VLOOKUP(B94,REQUISICIÓN!$C$9:$E$125,3,0)</f>
        <v>#N/A</v>
      </c>
      <c r="G94" s="154"/>
      <c r="H94" s="14"/>
      <c r="I94" s="14"/>
      <c r="J94" s="14"/>
      <c r="K94" s="14"/>
      <c r="L94" s="14"/>
      <c r="M94" s="15"/>
      <c r="N94" s="15"/>
      <c r="O94" s="15"/>
      <c r="P94" s="15"/>
      <c r="Q94" s="15"/>
      <c r="R94" s="15"/>
      <c r="S94" s="15"/>
      <c r="T94" s="15"/>
      <c r="U94" s="15"/>
      <c r="V94" s="16" t="e">
        <f t="shared" si="2"/>
        <v>#NUM!</v>
      </c>
      <c r="W94" s="26" t="e">
        <f>VLOOKUP(B94,REQUISICIÓN!$C$9:$G$509,5,0)</f>
        <v>#N/A</v>
      </c>
      <c r="X94" s="156"/>
      <c r="Y94" s="150"/>
      <c r="Z94" s="157"/>
      <c r="AA94" s="162"/>
      <c r="AB94" s="156"/>
    </row>
    <row r="95" spans="2:28" s="158" customFormat="1" x14ac:dyDescent="0.3">
      <c r="B95" s="150">
        <v>254</v>
      </c>
      <c r="C95" s="71">
        <v>770200392502</v>
      </c>
      <c r="D95" s="152"/>
      <c r="E95" s="96" t="s">
        <v>388</v>
      </c>
      <c r="F95" s="154" t="e">
        <f>VLOOKUP(B95,REQUISICIÓN!$C$9:$E$125,3,0)</f>
        <v>#N/A</v>
      </c>
      <c r="G95" s="70" t="s">
        <v>4</v>
      </c>
      <c r="H95" s="14"/>
      <c r="I95" s="14"/>
      <c r="J95" s="14"/>
      <c r="K95" s="14">
        <v>64</v>
      </c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6">
        <f t="shared" si="2"/>
        <v>64</v>
      </c>
      <c r="W95" s="26" t="e">
        <f>VLOOKUP(B95,REQUISICIÓN!$C$9:$G$509,5,0)</f>
        <v>#N/A</v>
      </c>
      <c r="X95" s="156"/>
      <c r="Y95" s="150"/>
      <c r="Z95" s="157"/>
      <c r="AA95" s="162"/>
      <c r="AB95" s="156"/>
    </row>
    <row r="96" spans="2:28" x14ac:dyDescent="0.3">
      <c r="B96" s="2">
        <v>210</v>
      </c>
      <c r="C96" s="71">
        <v>7501125100864</v>
      </c>
      <c r="D96" s="71">
        <v>0</v>
      </c>
      <c r="E96" s="96" t="s">
        <v>284</v>
      </c>
      <c r="F96" s="70" t="e">
        <f>VLOOKUP(B96,REQUISICIÓN!$C$9:$E$125,3,0)</f>
        <v>#N/A</v>
      </c>
      <c r="G96" s="70" t="s">
        <v>4</v>
      </c>
      <c r="H96" s="14">
        <v>0</v>
      </c>
      <c r="I96" s="14">
        <v>0</v>
      </c>
      <c r="J96" s="14">
        <v>0</v>
      </c>
      <c r="K96" s="14">
        <v>48.5</v>
      </c>
      <c r="L96" s="14"/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6">
        <f t="shared" si="2"/>
        <v>48.5</v>
      </c>
      <c r="W96" s="26" t="e">
        <f>VLOOKUP(B96,REQUISICIÓN!$C$9:$G$509,5,0)</f>
        <v>#N/A</v>
      </c>
      <c r="X96" s="25"/>
      <c r="Y96" s="2"/>
      <c r="Z96" s="73"/>
      <c r="AA96" s="74"/>
      <c r="AB96" s="25"/>
    </row>
    <row r="97" spans="2:28" x14ac:dyDescent="0.3">
      <c r="B97" s="2">
        <v>211</v>
      </c>
      <c r="C97" s="71">
        <v>7501125100857</v>
      </c>
      <c r="D97" s="71">
        <v>0</v>
      </c>
      <c r="E97" s="96" t="s">
        <v>285</v>
      </c>
      <c r="F97" s="70" t="e">
        <f>VLOOKUP(B97,REQUISICIÓN!$C$9:$E$125,3,0)</f>
        <v>#N/A</v>
      </c>
      <c r="G97" s="70" t="s">
        <v>4</v>
      </c>
      <c r="H97" s="14">
        <v>0</v>
      </c>
      <c r="I97" s="14">
        <v>0</v>
      </c>
      <c r="J97" s="14">
        <v>0</v>
      </c>
      <c r="K97" s="14">
        <v>38.4</v>
      </c>
      <c r="L97" s="14"/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6">
        <f t="shared" si="2"/>
        <v>38.4</v>
      </c>
      <c r="W97" s="26" t="e">
        <f>VLOOKUP(B97,REQUISICIÓN!$C$9:$G$509,5,0)</f>
        <v>#N/A</v>
      </c>
      <c r="X97" s="25"/>
      <c r="Y97" s="2"/>
      <c r="Z97" s="73"/>
      <c r="AA97" s="74"/>
      <c r="AB97" s="25"/>
    </row>
    <row r="98" spans="2:28" x14ac:dyDescent="0.3">
      <c r="B98" s="2">
        <v>212</v>
      </c>
      <c r="C98" s="71">
        <v>7501125100840</v>
      </c>
      <c r="D98" s="71">
        <v>0</v>
      </c>
      <c r="E98" s="96" t="s">
        <v>286</v>
      </c>
      <c r="F98" s="70" t="e">
        <f>VLOOKUP(B98,REQUISICIÓN!$C$9:$E$125,3,0)</f>
        <v>#N/A</v>
      </c>
      <c r="G98" s="70" t="s">
        <v>4</v>
      </c>
      <c r="H98" s="14">
        <v>0</v>
      </c>
      <c r="I98" s="14">
        <v>0</v>
      </c>
      <c r="J98" s="14">
        <v>0</v>
      </c>
      <c r="K98" s="14">
        <v>30</v>
      </c>
      <c r="L98" s="14"/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6">
        <f t="shared" si="2"/>
        <v>30</v>
      </c>
      <c r="W98" s="26" t="e">
        <f>VLOOKUP(B98,REQUISICIÓN!$C$9:$G$509,5,0)</f>
        <v>#N/A</v>
      </c>
      <c r="X98" s="25"/>
      <c r="Y98" s="2"/>
      <c r="Z98" s="73"/>
      <c r="AA98" s="74"/>
      <c r="AB98" s="25"/>
    </row>
    <row r="99" spans="2:28" hidden="1" x14ac:dyDescent="0.3">
      <c r="B99" s="2">
        <v>63</v>
      </c>
      <c r="C99" s="71">
        <v>7501125115455</v>
      </c>
      <c r="D99" s="71">
        <v>0</v>
      </c>
      <c r="E99" s="61" t="s">
        <v>240</v>
      </c>
      <c r="F99" s="70" t="e">
        <f>VLOOKUP(B99,REQUISICIÓN!$C$9:$E$125,3,0)</f>
        <v>#N/A</v>
      </c>
      <c r="G99" s="72" t="s">
        <v>11</v>
      </c>
      <c r="H99" s="14">
        <v>0</v>
      </c>
      <c r="I99" s="14"/>
      <c r="J99" s="14">
        <f>29*50</f>
        <v>1450</v>
      </c>
      <c r="K99" s="14"/>
      <c r="L99" s="14"/>
      <c r="M99" s="15">
        <v>0</v>
      </c>
      <c r="N99" s="15"/>
      <c r="O99" s="14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6">
        <f t="shared" si="2"/>
        <v>1450</v>
      </c>
      <c r="W99" s="26" t="e">
        <f>VLOOKUP(B99,REQUISICIÓN!$C$9:$G$509,5,0)</f>
        <v>#N/A</v>
      </c>
      <c r="X99" s="25"/>
      <c r="Y99" s="25"/>
      <c r="Z99" s="25"/>
      <c r="AA99" s="25"/>
      <c r="AB99" s="25" t="s">
        <v>108</v>
      </c>
    </row>
    <row r="100" spans="2:28" hidden="1" x14ac:dyDescent="0.3">
      <c r="B100" s="2">
        <v>64</v>
      </c>
      <c r="C100" s="80">
        <v>75025014</v>
      </c>
      <c r="D100" s="71">
        <v>0</v>
      </c>
      <c r="E100" s="61" t="s">
        <v>241</v>
      </c>
      <c r="F100" s="70" t="e">
        <f>VLOOKUP(B100,REQUISICIÓN!$C$9:$E$125,3,0)</f>
        <v>#N/A</v>
      </c>
      <c r="G100" s="72" t="s">
        <v>4</v>
      </c>
      <c r="H100" s="14">
        <v>66.400000000000006</v>
      </c>
      <c r="I100" s="14"/>
      <c r="J100" s="14">
        <v>55.172499999999999</v>
      </c>
      <c r="K100" s="14"/>
      <c r="L100" s="14"/>
      <c r="M100" s="15">
        <v>0</v>
      </c>
      <c r="N100" s="15"/>
      <c r="O100" s="14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6">
        <f t="shared" si="2"/>
        <v>55.172499999999999</v>
      </c>
      <c r="W100" s="26" t="e">
        <f>VLOOKUP(B100,REQUISICIÓN!$C$9:$G$509,5,0)</f>
        <v>#N/A</v>
      </c>
      <c r="X100" s="25"/>
      <c r="Y100" s="25"/>
      <c r="Z100" s="25"/>
      <c r="AA100" s="25"/>
      <c r="AB100" s="25" t="s">
        <v>108</v>
      </c>
    </row>
    <row r="101" spans="2:28" hidden="1" x14ac:dyDescent="0.3">
      <c r="B101" s="2">
        <v>36</v>
      </c>
      <c r="D101" s="71" t="s">
        <v>288</v>
      </c>
      <c r="E101" s="61" t="s">
        <v>287</v>
      </c>
      <c r="F101" s="70">
        <f>VLOOKUP(B101,REQUISICIÓN!$C$9:$E$125,3,0)</f>
        <v>50</v>
      </c>
      <c r="G101" s="70" t="s">
        <v>4</v>
      </c>
      <c r="H101" s="14">
        <v>41</v>
      </c>
      <c r="I101" s="14">
        <v>47</v>
      </c>
      <c r="J101" s="15">
        <v>0</v>
      </c>
      <c r="K101" s="15"/>
      <c r="L101" s="15"/>
      <c r="M101" s="15">
        <v>0</v>
      </c>
      <c r="N101" s="15"/>
      <c r="O101" s="14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6">
        <f t="shared" si="2"/>
        <v>41</v>
      </c>
      <c r="W101" s="26">
        <f>VLOOKUP(B101,REQUISICIÓN!$C$9:$G$509,5,0)</f>
        <v>41</v>
      </c>
      <c r="X101" s="25"/>
      <c r="Y101" s="2"/>
      <c r="Z101" s="73"/>
      <c r="AA101" s="25"/>
      <c r="AB101" s="25" t="s">
        <v>108</v>
      </c>
    </row>
    <row r="102" spans="2:28" hidden="1" x14ac:dyDescent="0.3">
      <c r="B102" s="2">
        <v>76</v>
      </c>
      <c r="C102" s="68"/>
      <c r="D102" s="71">
        <v>15382</v>
      </c>
      <c r="E102" s="61" t="s">
        <v>242</v>
      </c>
      <c r="F102" s="70" t="e">
        <f>VLOOKUP(B102,REQUISICIÓN!$C$9:$E$125,3,0)</f>
        <v>#N/A</v>
      </c>
      <c r="G102" s="70" t="s">
        <v>91</v>
      </c>
      <c r="H102" s="14">
        <v>338</v>
      </c>
      <c r="I102" s="14"/>
      <c r="J102" s="14">
        <v>450</v>
      </c>
      <c r="K102" s="14"/>
      <c r="L102" s="14"/>
      <c r="M102" s="15">
        <v>0</v>
      </c>
      <c r="N102" s="15"/>
      <c r="O102" s="14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6">
        <f t="shared" si="2"/>
        <v>338</v>
      </c>
      <c r="W102" s="26" t="e">
        <f>VLOOKUP(B102,REQUISICIÓN!$C$9:$G$509,5,0)</f>
        <v>#N/A</v>
      </c>
      <c r="X102" s="25"/>
      <c r="Y102" s="2"/>
      <c r="Z102" s="73"/>
      <c r="AA102" s="25"/>
      <c r="AB102" s="25" t="s">
        <v>107</v>
      </c>
    </row>
    <row r="103" spans="2:28" x14ac:dyDescent="0.3">
      <c r="B103" s="2">
        <v>46</v>
      </c>
      <c r="C103" s="68"/>
      <c r="D103" s="71">
        <v>2228</v>
      </c>
      <c r="E103" s="96" t="s">
        <v>289</v>
      </c>
      <c r="F103" s="70" t="e">
        <f>VLOOKUP(B103,REQUISICIÓN!$C$9:$E$125,3,0)</f>
        <v>#N/A</v>
      </c>
      <c r="G103" s="70" t="s">
        <v>11</v>
      </c>
      <c r="H103" s="14">
        <v>114</v>
      </c>
      <c r="I103" s="14"/>
      <c r="J103" s="15">
        <v>0</v>
      </c>
      <c r="K103" s="15">
        <v>143.9</v>
      </c>
      <c r="L103" s="15"/>
      <c r="M103" s="15">
        <v>0</v>
      </c>
      <c r="N103" s="15"/>
      <c r="O103" s="14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6">
        <f t="shared" si="2"/>
        <v>114</v>
      </c>
      <c r="W103" s="26" t="e">
        <f>VLOOKUP(B103,REQUISICIÓN!$C$9:$G$509,5,0)</f>
        <v>#N/A</v>
      </c>
      <c r="X103" s="25"/>
      <c r="Y103" s="25"/>
      <c r="Z103" s="25"/>
      <c r="AA103" s="25"/>
      <c r="AB103" s="25" t="s">
        <v>108</v>
      </c>
    </row>
    <row r="104" spans="2:28" hidden="1" x14ac:dyDescent="0.3">
      <c r="B104" s="2">
        <v>73</v>
      </c>
      <c r="C104" s="68"/>
      <c r="D104" s="71">
        <v>4000476</v>
      </c>
      <c r="E104" s="61" t="s">
        <v>90</v>
      </c>
      <c r="F104" s="70" t="e">
        <f>VLOOKUP(B104,REQUISICIÓN!$C$9:$E$125,3,0)</f>
        <v>#N/A</v>
      </c>
      <c r="G104" s="70" t="s">
        <v>4</v>
      </c>
      <c r="H104" s="14">
        <v>62.6</v>
      </c>
      <c r="I104" s="14"/>
      <c r="J104" s="14">
        <v>75</v>
      </c>
      <c r="K104" s="14"/>
      <c r="L104" s="14"/>
      <c r="M104" s="15">
        <v>0</v>
      </c>
      <c r="N104" s="15"/>
      <c r="O104" s="14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6">
        <f t="shared" si="2"/>
        <v>62.6</v>
      </c>
      <c r="W104" s="26" t="e">
        <f>VLOOKUP(B104,REQUISICIÓN!$C$9:$G$509,5,0)</f>
        <v>#N/A</v>
      </c>
      <c r="X104" s="25"/>
      <c r="Y104" s="2"/>
      <c r="Z104" s="73"/>
      <c r="AA104" s="25"/>
      <c r="AB104" s="25" t="s">
        <v>111</v>
      </c>
    </row>
    <row r="105" spans="2:28" hidden="1" x14ac:dyDescent="0.3">
      <c r="B105" s="2">
        <v>189</v>
      </c>
      <c r="C105" s="68"/>
      <c r="D105" s="71">
        <v>0</v>
      </c>
      <c r="E105" s="61" t="s">
        <v>183</v>
      </c>
      <c r="F105" s="70" t="e">
        <f>VLOOKUP(B105,REQUISICIÓN!$C$9:$E$125,3,0)</f>
        <v>#N/A</v>
      </c>
      <c r="G105" s="70" t="s">
        <v>4</v>
      </c>
      <c r="H105" s="14">
        <v>0</v>
      </c>
      <c r="I105" s="14"/>
      <c r="J105" s="15">
        <v>0</v>
      </c>
      <c r="K105" s="15"/>
      <c r="L105" s="15"/>
      <c r="M105" s="15">
        <v>0</v>
      </c>
      <c r="N105" s="15"/>
      <c r="O105" s="14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6" t="e">
        <f t="shared" si="2"/>
        <v>#NUM!</v>
      </c>
      <c r="W105" s="26" t="e">
        <f>VLOOKUP(B105,REQUISICIÓN!$C$9:$G$509,5,0)</f>
        <v>#N/A</v>
      </c>
      <c r="X105" s="2"/>
      <c r="Y105" s="2"/>
      <c r="Z105" s="25"/>
      <c r="AA105" s="2"/>
      <c r="AB105" s="25"/>
    </row>
    <row r="106" spans="2:28" x14ac:dyDescent="0.3">
      <c r="B106" s="2">
        <v>41</v>
      </c>
      <c r="C106" s="68"/>
      <c r="D106" s="71">
        <v>0</v>
      </c>
      <c r="E106" s="96" t="s">
        <v>13</v>
      </c>
      <c r="F106" s="70" t="e">
        <f>VLOOKUP(B106,REQUISICIÓN!$C$9:$E$125,3,0)</f>
        <v>#N/A</v>
      </c>
      <c r="G106" s="70" t="s">
        <v>4</v>
      </c>
      <c r="H106" s="14">
        <v>13.6</v>
      </c>
      <c r="I106" s="14"/>
      <c r="J106" s="14">
        <v>20</v>
      </c>
      <c r="K106" s="14">
        <v>66</v>
      </c>
      <c r="L106" s="14"/>
      <c r="M106" s="15">
        <v>0</v>
      </c>
      <c r="N106" s="15"/>
      <c r="O106" s="14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6">
        <f t="shared" si="2"/>
        <v>13.6</v>
      </c>
      <c r="W106" s="26" t="e">
        <f>VLOOKUP(B106,REQUISICIÓN!$C$9:$G$509,5,0)</f>
        <v>#N/A</v>
      </c>
      <c r="X106" s="25"/>
      <c r="Y106" s="2"/>
      <c r="Z106" s="73"/>
      <c r="AA106" s="25"/>
      <c r="AB106" s="25" t="s">
        <v>108</v>
      </c>
    </row>
    <row r="107" spans="2:28" hidden="1" x14ac:dyDescent="0.3">
      <c r="B107" s="2">
        <v>155</v>
      </c>
      <c r="C107" s="68"/>
      <c r="D107" s="71">
        <v>5012</v>
      </c>
      <c r="E107" s="61" t="s">
        <v>179</v>
      </c>
      <c r="F107" s="70" t="e">
        <f>VLOOKUP(B107,REQUISICIÓN!$C$9:$E$125,3,0)</f>
        <v>#N/A</v>
      </c>
      <c r="G107" s="70" t="s">
        <v>4</v>
      </c>
      <c r="H107" s="14">
        <v>0</v>
      </c>
      <c r="I107" s="14"/>
      <c r="J107" s="15">
        <v>0</v>
      </c>
      <c r="K107" s="15"/>
      <c r="L107" s="15"/>
      <c r="M107" s="15">
        <v>0</v>
      </c>
      <c r="N107" s="15"/>
      <c r="O107" s="14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6" t="e">
        <f t="shared" si="2"/>
        <v>#NUM!</v>
      </c>
      <c r="W107" s="26" t="e">
        <f>VLOOKUP(B107,REQUISICIÓN!$C$9:$G$509,5,0)</f>
        <v>#N/A</v>
      </c>
      <c r="X107" s="2"/>
      <c r="Y107" s="2"/>
      <c r="Z107" s="25"/>
      <c r="AA107" s="2"/>
      <c r="AB107" s="25"/>
    </row>
    <row r="108" spans="2:28" hidden="1" x14ac:dyDescent="0.3">
      <c r="B108" s="2">
        <v>187</v>
      </c>
      <c r="C108" s="68"/>
      <c r="D108" s="71">
        <v>0</v>
      </c>
      <c r="E108" s="61" t="s">
        <v>180</v>
      </c>
      <c r="F108" s="70" t="e">
        <f>VLOOKUP(B108,REQUISICIÓN!$C$9:$E$125,3,0)</f>
        <v>#N/A</v>
      </c>
      <c r="G108" s="70" t="s">
        <v>4</v>
      </c>
      <c r="H108" s="14">
        <v>0</v>
      </c>
      <c r="I108" s="14"/>
      <c r="J108" s="15">
        <v>0</v>
      </c>
      <c r="K108" s="15"/>
      <c r="L108" s="15"/>
      <c r="M108" s="15">
        <v>0</v>
      </c>
      <c r="N108" s="15"/>
      <c r="O108" s="14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6" t="e">
        <f t="shared" si="2"/>
        <v>#NUM!</v>
      </c>
      <c r="W108" s="26" t="e">
        <f>VLOOKUP(B108,REQUISICIÓN!$C$9:$G$509,5,0)</f>
        <v>#N/A</v>
      </c>
      <c r="X108" s="2"/>
      <c r="Y108" s="2"/>
      <c r="Z108" s="25"/>
      <c r="AA108" s="2"/>
      <c r="AB108" s="25"/>
    </row>
    <row r="109" spans="2:28" ht="13.2" hidden="1" customHeight="1" x14ac:dyDescent="0.3">
      <c r="B109" s="2">
        <v>108</v>
      </c>
      <c r="C109" s="68"/>
      <c r="D109" s="71" t="s">
        <v>268</v>
      </c>
      <c r="E109" s="61" t="s">
        <v>117</v>
      </c>
      <c r="F109" s="70" t="e">
        <f>VLOOKUP(B109,REQUISICIÓN!$C$9:$E$125,3,0)</f>
        <v>#N/A</v>
      </c>
      <c r="G109" s="70" t="s">
        <v>4</v>
      </c>
      <c r="H109" s="14">
        <v>0</v>
      </c>
      <c r="I109" s="14"/>
      <c r="J109" s="15">
        <v>0</v>
      </c>
      <c r="K109" s="15"/>
      <c r="L109" s="15"/>
      <c r="M109" s="14">
        <v>115.84</v>
      </c>
      <c r="N109" s="14"/>
      <c r="O109" s="14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6">
        <f t="shared" si="2"/>
        <v>115.84</v>
      </c>
      <c r="W109" s="26" t="e">
        <f>VLOOKUP(B109,REQUISICIÓN!$C$9:$G$509,5,0)</f>
        <v>#N/A</v>
      </c>
      <c r="X109" s="25"/>
      <c r="Y109" s="25"/>
      <c r="Z109" s="25"/>
      <c r="AA109" s="25"/>
      <c r="AB109" s="25"/>
    </row>
    <row r="110" spans="2:28" hidden="1" x14ac:dyDescent="0.3">
      <c r="B110" s="2">
        <v>136</v>
      </c>
      <c r="C110" s="68"/>
      <c r="D110" s="71" t="s">
        <v>123</v>
      </c>
      <c r="E110" s="61" t="s">
        <v>124</v>
      </c>
      <c r="F110" s="70" t="e">
        <f>VLOOKUP(B110,REQUISICIÓN!$C$9:$E$125,3,0)</f>
        <v>#N/A</v>
      </c>
      <c r="G110" s="70" t="s">
        <v>4</v>
      </c>
      <c r="H110" s="14">
        <v>68.5</v>
      </c>
      <c r="I110" s="14"/>
      <c r="J110" s="15">
        <v>0</v>
      </c>
      <c r="K110" s="15"/>
      <c r="L110" s="15"/>
      <c r="M110" s="15">
        <v>0</v>
      </c>
      <c r="N110" s="15"/>
      <c r="O110" s="14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6">
        <f t="shared" si="2"/>
        <v>68.5</v>
      </c>
      <c r="W110" s="26" t="e">
        <f>VLOOKUP(B110,REQUISICIÓN!$C$9:$G$509,5,0)</f>
        <v>#N/A</v>
      </c>
      <c r="X110" s="2"/>
      <c r="Y110" s="2"/>
      <c r="Z110" s="25"/>
      <c r="AA110" s="2"/>
      <c r="AB110" s="25"/>
    </row>
    <row r="111" spans="2:28" hidden="1" x14ac:dyDescent="0.3">
      <c r="B111" s="2">
        <v>150</v>
      </c>
      <c r="C111" s="68"/>
      <c r="D111" s="71">
        <v>9799</v>
      </c>
      <c r="E111" s="61" t="s">
        <v>243</v>
      </c>
      <c r="F111" s="70" t="e">
        <f>VLOOKUP(B111,REQUISICIÓN!$C$9:$E$125,3,0)</f>
        <v>#N/A</v>
      </c>
      <c r="G111" s="70" t="s">
        <v>4</v>
      </c>
      <c r="H111" s="14">
        <v>29.5</v>
      </c>
      <c r="I111" s="14"/>
      <c r="J111" s="15">
        <v>0</v>
      </c>
      <c r="K111" s="15"/>
      <c r="L111" s="15"/>
      <c r="M111" s="15">
        <v>0</v>
      </c>
      <c r="N111" s="15"/>
      <c r="O111" s="14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6">
        <f t="shared" si="2"/>
        <v>29.5</v>
      </c>
      <c r="W111" s="26" t="e">
        <f>VLOOKUP(B111,REQUISICIÓN!$C$9:$G$509,5,0)</f>
        <v>#N/A</v>
      </c>
      <c r="X111" s="25"/>
      <c r="Y111" s="2"/>
      <c r="Z111" s="73"/>
      <c r="AA111" s="25"/>
      <c r="AB111" s="25" t="s">
        <v>149</v>
      </c>
    </row>
    <row r="112" spans="2:28" x14ac:dyDescent="0.3">
      <c r="B112" s="2">
        <v>170</v>
      </c>
      <c r="C112" s="68"/>
      <c r="D112" s="71">
        <v>4000480</v>
      </c>
      <c r="E112" s="96" t="s">
        <v>182</v>
      </c>
      <c r="F112" s="70" t="e">
        <f>VLOOKUP(B112,REQUISICIÓN!$C$9:$E$125,3,0)</f>
        <v>#N/A</v>
      </c>
      <c r="G112" s="70" t="s">
        <v>4</v>
      </c>
      <c r="H112" s="14">
        <v>0</v>
      </c>
      <c r="I112" s="14"/>
      <c r="J112" s="15">
        <v>0</v>
      </c>
      <c r="K112" s="15">
        <v>29</v>
      </c>
      <c r="L112" s="15"/>
      <c r="M112" s="15">
        <v>0</v>
      </c>
      <c r="N112" s="15"/>
      <c r="O112" s="14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6">
        <f t="shared" si="2"/>
        <v>29</v>
      </c>
      <c r="W112" s="26" t="e">
        <f>VLOOKUP(B112,REQUISICIÓN!$C$9:$G$509,5,0)</f>
        <v>#N/A</v>
      </c>
      <c r="X112" s="2"/>
      <c r="Y112" s="2"/>
      <c r="Z112" s="25"/>
      <c r="AA112" s="2"/>
      <c r="AB112" s="25"/>
    </row>
    <row r="113" spans="2:28" x14ac:dyDescent="0.3">
      <c r="B113" s="2">
        <v>25</v>
      </c>
      <c r="C113" s="68"/>
      <c r="D113" s="71">
        <v>4000489</v>
      </c>
      <c r="E113" s="96" t="s">
        <v>12</v>
      </c>
      <c r="F113" s="70" t="e">
        <f>VLOOKUP(B113,REQUISICIÓN!$C$9:$E$125,3,0)</f>
        <v>#N/A</v>
      </c>
      <c r="G113" s="72" t="s">
        <v>4</v>
      </c>
      <c r="H113" s="14">
        <v>16.8</v>
      </c>
      <c r="I113" s="14"/>
      <c r="J113" s="14">
        <v>19.5</v>
      </c>
      <c r="K113" s="14">
        <v>19</v>
      </c>
      <c r="L113" s="14"/>
      <c r="M113" s="15">
        <v>0</v>
      </c>
      <c r="N113" s="15"/>
      <c r="O113" s="14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6">
        <f t="shared" si="2"/>
        <v>16.8</v>
      </c>
      <c r="W113" s="26" t="e">
        <f>VLOOKUP(B113,REQUISICIÓN!$C$9:$G$509,5,0)</f>
        <v>#N/A</v>
      </c>
      <c r="X113" s="25"/>
      <c r="Y113" s="2"/>
      <c r="Z113" s="73"/>
      <c r="AA113" s="25"/>
      <c r="AB113" s="25"/>
    </row>
    <row r="114" spans="2:28" hidden="1" x14ac:dyDescent="0.3">
      <c r="B114" s="81">
        <v>142</v>
      </c>
      <c r="C114" s="68"/>
      <c r="D114" s="71" t="s">
        <v>134</v>
      </c>
      <c r="E114" s="61" t="s">
        <v>244</v>
      </c>
      <c r="F114" s="70" t="e">
        <f>VLOOKUP(B114,REQUISICIÓN!$C$9:$E$125,3,0)</f>
        <v>#N/A</v>
      </c>
      <c r="G114" s="72" t="s">
        <v>4</v>
      </c>
      <c r="H114" s="14">
        <v>16.8</v>
      </c>
      <c r="I114" s="14"/>
      <c r="J114" s="14">
        <v>23.92</v>
      </c>
      <c r="K114" s="14"/>
      <c r="L114" s="14"/>
      <c r="M114" s="15">
        <v>0</v>
      </c>
      <c r="N114" s="15"/>
      <c r="O114" s="14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6">
        <f t="shared" si="2"/>
        <v>16.8</v>
      </c>
      <c r="W114" s="26" t="e">
        <f>VLOOKUP(B114,REQUISICIÓN!$C$9:$G$509,5,0)</f>
        <v>#N/A</v>
      </c>
      <c r="X114" s="25"/>
      <c r="Y114" s="2"/>
      <c r="Z114" s="73"/>
      <c r="AA114" s="25"/>
      <c r="AB114" s="25"/>
    </row>
    <row r="115" spans="2:28" x14ac:dyDescent="0.3">
      <c r="B115" s="81">
        <v>84</v>
      </c>
      <c r="C115" s="68"/>
      <c r="D115" s="71">
        <v>0</v>
      </c>
      <c r="E115" s="96" t="s">
        <v>346</v>
      </c>
      <c r="F115" s="70">
        <f>VLOOKUP(B115,REQUISICIÓN!$C$9:$E$125,3,0)</f>
        <v>2</v>
      </c>
      <c r="G115" s="70" t="s">
        <v>347</v>
      </c>
      <c r="H115" s="14">
        <v>28.5</v>
      </c>
      <c r="I115" s="14"/>
      <c r="J115" s="15">
        <v>0</v>
      </c>
      <c r="K115" s="15">
        <f>620/25</f>
        <v>24.8</v>
      </c>
      <c r="L115" s="15"/>
      <c r="M115" s="15">
        <v>0</v>
      </c>
      <c r="N115" s="15"/>
      <c r="O115" s="14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6">
        <f t="shared" si="2"/>
        <v>24.8</v>
      </c>
      <c r="W115" s="26">
        <f>VLOOKUP(B115,REQUISICIÓN!$C$9:$G$509,5,0)</f>
        <v>41</v>
      </c>
      <c r="X115" s="25"/>
      <c r="Y115" s="2"/>
      <c r="Z115" s="73"/>
      <c r="AA115" s="25"/>
      <c r="AB115" s="25"/>
    </row>
    <row r="116" spans="2:28" hidden="1" x14ac:dyDescent="0.3">
      <c r="B116" s="81">
        <v>156</v>
      </c>
      <c r="C116" s="83">
        <v>7501868901025</v>
      </c>
      <c r="D116" s="71">
        <v>0</v>
      </c>
      <c r="E116" s="61" t="s">
        <v>184</v>
      </c>
      <c r="F116" s="70" t="e">
        <f>VLOOKUP(B116,REQUISICIÓN!$C$9:$E$125,3,0)</f>
        <v>#N/A</v>
      </c>
      <c r="G116" s="70" t="s">
        <v>9</v>
      </c>
      <c r="H116" s="14">
        <v>0</v>
      </c>
      <c r="I116" s="14"/>
      <c r="J116" s="15">
        <v>0</v>
      </c>
      <c r="K116" s="15"/>
      <c r="L116" s="15"/>
      <c r="M116" s="15">
        <v>0</v>
      </c>
      <c r="N116" s="15"/>
      <c r="O116" s="14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6" t="e">
        <f t="shared" si="2"/>
        <v>#NUM!</v>
      </c>
      <c r="W116" s="26" t="e">
        <f>VLOOKUP(B116,REQUISICIÓN!$C$9:$G$509,5,0)</f>
        <v>#N/A</v>
      </c>
      <c r="X116" s="2"/>
      <c r="Y116" s="2"/>
      <c r="Z116" s="25"/>
      <c r="AA116" s="2"/>
      <c r="AB116" s="25"/>
    </row>
    <row r="117" spans="2:28" hidden="1" x14ac:dyDescent="0.3">
      <c r="B117" s="81">
        <v>26</v>
      </c>
      <c r="C117" s="83">
        <v>7501048613700</v>
      </c>
      <c r="D117" s="71">
        <v>180130</v>
      </c>
      <c r="E117" s="61" t="s">
        <v>291</v>
      </c>
      <c r="F117" s="70" t="e">
        <f>VLOOKUP(B117,REQUISICIÓN!$C$9:$E$125,3,0)</f>
        <v>#N/A</v>
      </c>
      <c r="G117" s="70" t="s">
        <v>9</v>
      </c>
      <c r="H117" s="14">
        <v>170.26</v>
      </c>
      <c r="I117" s="14"/>
      <c r="J117" s="14">
        <v>193.89</v>
      </c>
      <c r="K117" s="14"/>
      <c r="L117" s="14"/>
      <c r="M117" s="15">
        <v>0</v>
      </c>
      <c r="N117" s="15"/>
      <c r="O117" s="14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6">
        <f t="shared" si="2"/>
        <v>170.26</v>
      </c>
      <c r="W117" s="26" t="e">
        <f>VLOOKUP(B117,REQUISICIÓN!$C$9:$G$509,5,0)</f>
        <v>#N/A</v>
      </c>
      <c r="X117" s="25"/>
      <c r="Y117" s="2"/>
      <c r="Z117" s="73"/>
      <c r="AA117" s="25"/>
      <c r="AB117" s="25"/>
    </row>
    <row r="118" spans="2:28" hidden="1" x14ac:dyDescent="0.3">
      <c r="B118" s="81">
        <v>205</v>
      </c>
      <c r="C118" s="83">
        <v>7503003406051</v>
      </c>
      <c r="D118" s="71">
        <v>0</v>
      </c>
      <c r="E118" s="61" t="s">
        <v>217</v>
      </c>
      <c r="F118" s="70" t="e">
        <f>VLOOKUP(B118,REQUISICIÓN!$C$9:$E$125,3,0)</f>
        <v>#N/A</v>
      </c>
      <c r="G118" s="78" t="s">
        <v>218</v>
      </c>
      <c r="H118" s="14">
        <v>0</v>
      </c>
      <c r="I118" s="14"/>
      <c r="J118" s="14">
        <v>0</v>
      </c>
      <c r="K118" s="14"/>
      <c r="L118" s="14"/>
      <c r="M118" s="15">
        <v>0</v>
      </c>
      <c r="N118" s="15"/>
      <c r="O118" s="14">
        <v>0</v>
      </c>
      <c r="P118" s="15">
        <v>15.53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6">
        <f t="shared" si="2"/>
        <v>15.53</v>
      </c>
      <c r="W118" s="26" t="e">
        <f>VLOOKUP(B118,REQUISICIÓN!$C$9:$G$509,5,0)</f>
        <v>#N/A</v>
      </c>
      <c r="X118" s="25"/>
      <c r="Y118" s="2"/>
      <c r="Z118" s="73"/>
      <c r="AA118" s="25"/>
      <c r="AB118" s="25"/>
    </row>
    <row r="119" spans="2:28" x14ac:dyDescent="0.3">
      <c r="B119" s="81">
        <v>230</v>
      </c>
      <c r="C119" s="83"/>
      <c r="D119" s="71"/>
      <c r="E119" s="96" t="s">
        <v>360</v>
      </c>
      <c r="F119" s="70" t="e">
        <f>VLOOKUP(B119,REQUISICIÓN!$C$9:$E$125,3,0)</f>
        <v>#N/A</v>
      </c>
      <c r="G119" s="70" t="s">
        <v>9</v>
      </c>
      <c r="H119" s="14"/>
      <c r="I119" s="14"/>
      <c r="J119" s="14"/>
      <c r="K119" s="14">
        <v>144</v>
      </c>
      <c r="L119" s="14"/>
      <c r="M119" s="15"/>
      <c r="N119" s="15"/>
      <c r="O119" s="14"/>
      <c r="P119" s="15"/>
      <c r="Q119" s="15"/>
      <c r="R119" s="15"/>
      <c r="S119" s="15"/>
      <c r="T119" s="15"/>
      <c r="U119" s="15"/>
      <c r="V119" s="16">
        <f t="shared" si="2"/>
        <v>144</v>
      </c>
      <c r="W119" s="26" t="e">
        <f>VLOOKUP(B119,REQUISICIÓN!$C$9:$G$509,5,0)</f>
        <v>#N/A</v>
      </c>
      <c r="X119" s="25"/>
      <c r="Y119" s="2"/>
      <c r="Z119" s="73"/>
      <c r="AA119" s="25"/>
      <c r="AB119" s="25"/>
    </row>
    <row r="120" spans="2:28" hidden="1" x14ac:dyDescent="0.3">
      <c r="B120" s="81">
        <v>83</v>
      </c>
      <c r="C120" s="68"/>
      <c r="D120" s="71">
        <v>0</v>
      </c>
      <c r="E120" s="61" t="s">
        <v>25</v>
      </c>
      <c r="F120" s="70" t="e">
        <f>VLOOKUP(B120,REQUISICIÓN!$C$9:$E$125,3,0)</f>
        <v>#N/A</v>
      </c>
      <c r="G120" s="78" t="s">
        <v>4</v>
      </c>
      <c r="H120" s="14">
        <f>2156/200</f>
        <v>10.78</v>
      </c>
      <c r="I120" s="14"/>
      <c r="J120" s="15">
        <v>0</v>
      </c>
      <c r="K120" s="15"/>
      <c r="L120" s="15"/>
      <c r="M120" s="15">
        <v>0</v>
      </c>
      <c r="N120" s="15"/>
      <c r="O120" s="14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6">
        <f t="shared" si="2"/>
        <v>10.78</v>
      </c>
      <c r="W120" s="26" t="e">
        <f>VLOOKUP(B120,REQUISICIÓN!$C$9:$G$509,5,0)</f>
        <v>#N/A</v>
      </c>
      <c r="X120" s="25"/>
      <c r="Y120" s="25"/>
      <c r="Z120" s="25"/>
      <c r="AA120" s="25"/>
      <c r="AB120" s="25" t="s">
        <v>108</v>
      </c>
    </row>
    <row r="121" spans="2:28" hidden="1" x14ac:dyDescent="0.3">
      <c r="B121" s="81">
        <v>27</v>
      </c>
      <c r="C121" s="68"/>
      <c r="D121" s="71">
        <v>180170</v>
      </c>
      <c r="E121" s="61" t="s">
        <v>245</v>
      </c>
      <c r="F121" s="70" t="e">
        <f>VLOOKUP(B121,REQUISICIÓN!$C$9:$E$125,3,0)</f>
        <v>#N/A</v>
      </c>
      <c r="G121" s="77" t="s">
        <v>9</v>
      </c>
      <c r="H121" s="14">
        <v>98.2</v>
      </c>
      <c r="I121" s="14"/>
      <c r="J121" s="15">
        <v>0</v>
      </c>
      <c r="K121" s="15"/>
      <c r="L121" s="15"/>
      <c r="M121" s="15">
        <v>0</v>
      </c>
      <c r="N121" s="15"/>
      <c r="O121" s="14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6">
        <f t="shared" si="2"/>
        <v>98.2</v>
      </c>
      <c r="W121" s="26" t="e">
        <f>VLOOKUP(B121,REQUISICIÓN!$C$9:$G$509,5,0)</f>
        <v>#N/A</v>
      </c>
      <c r="X121" s="25"/>
      <c r="Y121" s="2"/>
      <c r="Z121" s="73"/>
      <c r="AA121" s="25"/>
      <c r="AB121" s="25" t="s">
        <v>107</v>
      </c>
    </row>
    <row r="122" spans="2:28" hidden="1" x14ac:dyDescent="0.3">
      <c r="B122" s="81">
        <v>157</v>
      </c>
      <c r="C122" s="83">
        <v>7501868900035</v>
      </c>
      <c r="D122" s="71">
        <v>0</v>
      </c>
      <c r="E122" s="61" t="s">
        <v>185</v>
      </c>
      <c r="F122" s="70" t="e">
        <f>VLOOKUP(B122,REQUISICIÓN!$C$9:$E$125,3,0)</f>
        <v>#N/A</v>
      </c>
      <c r="G122" s="77" t="s">
        <v>9</v>
      </c>
      <c r="H122" s="14">
        <v>0</v>
      </c>
      <c r="I122" s="14"/>
      <c r="J122" s="15">
        <v>0</v>
      </c>
      <c r="K122" s="15"/>
      <c r="L122" s="15"/>
      <c r="M122" s="15">
        <v>0</v>
      </c>
      <c r="N122" s="15"/>
      <c r="O122" s="14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6" t="e">
        <f t="shared" si="2"/>
        <v>#NUM!</v>
      </c>
      <c r="W122" s="26" t="e">
        <f>VLOOKUP(B122,REQUISICIÓN!$C$9:$G$509,5,0)</f>
        <v>#N/A</v>
      </c>
      <c r="X122" s="2"/>
      <c r="Y122" s="2"/>
      <c r="Z122" s="25"/>
      <c r="AA122" s="2"/>
      <c r="AB122" s="25"/>
    </row>
    <row r="123" spans="2:28" hidden="1" x14ac:dyDescent="0.3">
      <c r="B123" s="81">
        <v>190</v>
      </c>
      <c r="C123" s="83"/>
      <c r="D123" s="71">
        <v>0</v>
      </c>
      <c r="E123" s="61" t="s">
        <v>186</v>
      </c>
      <c r="F123" s="70" t="e">
        <f>VLOOKUP(B123,REQUISICIÓN!$C$9:$E$125,3,0)</f>
        <v>#N/A</v>
      </c>
      <c r="G123" s="77" t="s">
        <v>9</v>
      </c>
      <c r="H123" s="14">
        <v>0</v>
      </c>
      <c r="I123" s="14"/>
      <c r="J123" s="15">
        <v>0</v>
      </c>
      <c r="K123" s="15"/>
      <c r="L123" s="15"/>
      <c r="M123" s="15">
        <v>0</v>
      </c>
      <c r="N123" s="15"/>
      <c r="O123" s="14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6" t="e">
        <f t="shared" si="2"/>
        <v>#NUM!</v>
      </c>
      <c r="W123" s="26" t="e">
        <f>VLOOKUP(B123,REQUISICIÓN!$C$9:$G$509,5,0)</f>
        <v>#N/A</v>
      </c>
      <c r="X123" s="2"/>
      <c r="Y123" s="2"/>
      <c r="Z123" s="25"/>
      <c r="AA123" s="2"/>
      <c r="AB123" s="25"/>
    </row>
    <row r="124" spans="2:28" x14ac:dyDescent="0.3">
      <c r="B124" s="2">
        <v>188</v>
      </c>
      <c r="C124" s="71"/>
      <c r="D124" s="71"/>
      <c r="E124" s="96" t="s">
        <v>359</v>
      </c>
      <c r="F124" s="70" t="e">
        <f>VLOOKUP(B124,REQUISICIÓN!$C$9:$E$125,3,0)</f>
        <v>#N/A</v>
      </c>
      <c r="G124" s="77" t="s">
        <v>9</v>
      </c>
      <c r="H124" s="14"/>
      <c r="I124" s="14"/>
      <c r="J124" s="15"/>
      <c r="K124" s="15">
        <v>88</v>
      </c>
      <c r="L124" s="15"/>
      <c r="M124" s="15"/>
      <c r="N124" s="15"/>
      <c r="O124" s="14"/>
      <c r="P124" s="15"/>
      <c r="Q124" s="15"/>
      <c r="R124" s="15"/>
      <c r="S124" s="15"/>
      <c r="T124" s="15"/>
      <c r="U124" s="15"/>
      <c r="V124" s="16">
        <f t="shared" si="2"/>
        <v>88</v>
      </c>
      <c r="W124" s="26" t="e">
        <f>VLOOKUP(B124,REQUISICIÓN!$C$9:$G$509,5,0)</f>
        <v>#N/A</v>
      </c>
      <c r="X124" s="2"/>
      <c r="Y124" s="2"/>
      <c r="Z124" s="25"/>
      <c r="AA124" s="2"/>
      <c r="AB124" s="25"/>
    </row>
    <row r="125" spans="2:28" hidden="1" x14ac:dyDescent="0.3">
      <c r="B125" s="81">
        <v>126</v>
      </c>
      <c r="C125" s="82"/>
      <c r="D125" s="71">
        <v>0</v>
      </c>
      <c r="E125" s="61" t="s">
        <v>89</v>
      </c>
      <c r="F125" s="70" t="e">
        <f>VLOOKUP(B125,REQUISICIÓN!$C$9:$E$125,3,0)</f>
        <v>#N/A</v>
      </c>
      <c r="G125" s="77" t="s">
        <v>4</v>
      </c>
      <c r="H125" s="14">
        <v>58.5</v>
      </c>
      <c r="I125" s="14"/>
      <c r="J125" s="14">
        <f>480/6</f>
        <v>80</v>
      </c>
      <c r="K125" s="14"/>
      <c r="L125" s="14"/>
      <c r="M125" s="15">
        <v>0</v>
      </c>
      <c r="N125" s="15"/>
      <c r="O125" s="14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6">
        <f t="shared" si="2"/>
        <v>58.5</v>
      </c>
      <c r="W125" s="26" t="e">
        <f>VLOOKUP(B125,REQUISICIÓN!$C$9:$G$509,5,0)</f>
        <v>#N/A</v>
      </c>
      <c r="X125" s="25"/>
      <c r="Y125" s="2"/>
      <c r="Z125" s="73"/>
      <c r="AA125" s="25"/>
      <c r="AB125" s="25" t="s">
        <v>108</v>
      </c>
    </row>
    <row r="126" spans="2:28" hidden="1" x14ac:dyDescent="0.3">
      <c r="B126" s="81">
        <v>213</v>
      </c>
      <c r="C126" s="68"/>
      <c r="D126" s="71"/>
      <c r="E126" s="61" t="s">
        <v>306</v>
      </c>
      <c r="F126" s="70" t="e">
        <f>VLOOKUP(B126,REQUISICIÓN!$C$9:$E$125,3,0)</f>
        <v>#N/A</v>
      </c>
      <c r="G126" s="78" t="s">
        <v>307</v>
      </c>
      <c r="H126" s="14">
        <v>0</v>
      </c>
      <c r="I126" s="14"/>
      <c r="J126" s="14">
        <v>0</v>
      </c>
      <c r="K126" s="14"/>
      <c r="L126" s="14"/>
      <c r="M126" s="15">
        <v>0</v>
      </c>
      <c r="N126" s="15">
        <v>0</v>
      </c>
      <c r="O126" s="14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6" t="e">
        <f t="shared" si="2"/>
        <v>#NUM!</v>
      </c>
      <c r="W126" s="26" t="e">
        <f>VLOOKUP(B126,REQUISICIÓN!$C$9:$G$509,5,0)</f>
        <v>#N/A</v>
      </c>
      <c r="X126" s="25"/>
      <c r="Y126" s="2"/>
      <c r="Z126" s="73"/>
      <c r="AA126" s="25"/>
      <c r="AB126" s="25"/>
    </row>
    <row r="127" spans="2:28" hidden="1" x14ac:dyDescent="0.3">
      <c r="B127" s="81">
        <v>191</v>
      </c>
      <c r="C127" s="82"/>
      <c r="D127" s="71">
        <v>0</v>
      </c>
      <c r="E127" s="61" t="s">
        <v>187</v>
      </c>
      <c r="F127" s="70" t="e">
        <f>VLOOKUP(B127,REQUISICIÓN!$C$9:$E$125,3,0)</f>
        <v>#N/A</v>
      </c>
      <c r="G127" s="77" t="s">
        <v>4</v>
      </c>
      <c r="H127" s="14">
        <v>0</v>
      </c>
      <c r="I127" s="14"/>
      <c r="J127" s="15">
        <v>0</v>
      </c>
      <c r="K127" s="15"/>
      <c r="L127" s="15"/>
      <c r="M127" s="15">
        <v>0</v>
      </c>
      <c r="N127" s="15"/>
      <c r="O127" s="14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6" t="e">
        <f t="shared" si="2"/>
        <v>#NUM!</v>
      </c>
      <c r="W127" s="26" t="e">
        <f>VLOOKUP(B127,REQUISICIÓN!$C$9:$G$509,5,0)</f>
        <v>#N/A</v>
      </c>
      <c r="X127" s="2"/>
      <c r="Y127" s="2"/>
      <c r="Z127" s="25"/>
      <c r="AA127" s="2"/>
      <c r="AB127" s="25"/>
    </row>
    <row r="128" spans="2:28" x14ac:dyDescent="0.3">
      <c r="B128" s="2">
        <v>158</v>
      </c>
      <c r="C128" s="68"/>
      <c r="D128" s="71">
        <v>0</v>
      </c>
      <c r="E128" s="96" t="s">
        <v>188</v>
      </c>
      <c r="F128" s="70" t="e">
        <f>VLOOKUP(B128,REQUISICIÓN!$C$9:$E$125,3,0)</f>
        <v>#N/A</v>
      </c>
      <c r="G128" s="72" t="s">
        <v>4</v>
      </c>
      <c r="H128" s="14">
        <v>0</v>
      </c>
      <c r="I128" s="14"/>
      <c r="J128" s="15">
        <v>0</v>
      </c>
      <c r="K128" s="15">
        <v>75</v>
      </c>
      <c r="L128" s="15"/>
      <c r="M128" s="15">
        <v>0</v>
      </c>
      <c r="N128" s="15"/>
      <c r="O128" s="14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6">
        <f t="shared" si="2"/>
        <v>75</v>
      </c>
      <c r="W128" s="26" t="e">
        <f>VLOOKUP(B128,REQUISICIÓN!$C$9:$G$509,5,0)</f>
        <v>#N/A</v>
      </c>
      <c r="X128" s="2"/>
      <c r="Y128" s="2"/>
      <c r="Z128" s="25"/>
      <c r="AA128" s="2"/>
      <c r="AB128" s="25"/>
    </row>
    <row r="129" spans="2:28" x14ac:dyDescent="0.3">
      <c r="B129" s="81">
        <v>226</v>
      </c>
      <c r="C129" s="82"/>
      <c r="D129" s="71">
        <v>40689770</v>
      </c>
      <c r="E129" s="96" t="s">
        <v>353</v>
      </c>
      <c r="F129" s="70" t="e">
        <f>VLOOKUP(B129,REQUISICIÓN!$C$9:$E$125,3,0)</f>
        <v>#N/A</v>
      </c>
      <c r="G129" s="72" t="s">
        <v>4</v>
      </c>
      <c r="H129" s="14"/>
      <c r="I129" s="14"/>
      <c r="J129" s="15"/>
      <c r="K129" s="15">
        <v>75</v>
      </c>
      <c r="L129" s="15"/>
      <c r="M129" s="15"/>
      <c r="N129" s="15"/>
      <c r="O129" s="14"/>
      <c r="P129" s="15"/>
      <c r="Q129" s="15"/>
      <c r="R129" s="15"/>
      <c r="S129" s="15"/>
      <c r="T129" s="15"/>
      <c r="U129" s="15"/>
      <c r="V129" s="16">
        <f t="shared" si="2"/>
        <v>75</v>
      </c>
      <c r="W129" s="26" t="e">
        <f>VLOOKUP(B129,REQUISICIÓN!$C$9:$G$509,5,0)</f>
        <v>#N/A</v>
      </c>
      <c r="X129" s="2"/>
      <c r="Y129" s="2"/>
      <c r="Z129" s="25"/>
      <c r="AA129" s="2"/>
      <c r="AB129" s="25"/>
    </row>
    <row r="130" spans="2:28" hidden="1" x14ac:dyDescent="0.3">
      <c r="B130" s="81">
        <v>216</v>
      </c>
      <c r="C130" s="83" t="s">
        <v>314</v>
      </c>
      <c r="D130" s="71"/>
      <c r="E130" s="61" t="s">
        <v>313</v>
      </c>
      <c r="F130" s="70" t="e">
        <f>VLOOKUP(B130,REQUISICIÓN!$C$9:$E$125,3,0)</f>
        <v>#N/A</v>
      </c>
      <c r="G130" s="77" t="s">
        <v>4</v>
      </c>
      <c r="H130" s="14">
        <v>0</v>
      </c>
      <c r="I130" s="14"/>
      <c r="J130" s="15">
        <v>0</v>
      </c>
      <c r="K130" s="15"/>
      <c r="L130" s="15"/>
      <c r="M130" s="15">
        <v>0</v>
      </c>
      <c r="N130" s="15">
        <v>0</v>
      </c>
      <c r="O130" s="14">
        <v>0</v>
      </c>
      <c r="P130" s="15">
        <v>62.19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6">
        <f t="shared" si="2"/>
        <v>62.19</v>
      </c>
      <c r="W130" s="26" t="e">
        <f>VLOOKUP(B130,REQUISICIÓN!$C$9:$G$509,5,0)</f>
        <v>#N/A</v>
      </c>
      <c r="X130" s="2"/>
      <c r="Y130" s="2"/>
      <c r="Z130" s="25"/>
      <c r="AA130" s="2"/>
      <c r="AB130" s="25"/>
    </row>
    <row r="131" spans="2:28" hidden="1" x14ac:dyDescent="0.3">
      <c r="B131" s="81">
        <v>71</v>
      </c>
      <c r="C131" s="82"/>
      <c r="D131" s="71">
        <v>0</v>
      </c>
      <c r="E131" s="61" t="s">
        <v>19</v>
      </c>
      <c r="F131" s="70" t="e">
        <f>VLOOKUP(B131,REQUISICIÓN!$C$9:$E$125,3,0)</f>
        <v>#N/A</v>
      </c>
      <c r="G131" s="77" t="s">
        <v>4</v>
      </c>
      <c r="H131" s="14">
        <v>70</v>
      </c>
      <c r="I131" s="14"/>
      <c r="J131" s="15">
        <v>0</v>
      </c>
      <c r="K131" s="15"/>
      <c r="L131" s="15"/>
      <c r="M131" s="15">
        <v>0</v>
      </c>
      <c r="N131" s="15"/>
      <c r="O131" s="14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6">
        <f t="shared" si="2"/>
        <v>70</v>
      </c>
      <c r="W131" s="26" t="e">
        <f>VLOOKUP(B131,REQUISICIÓN!$C$9:$G$509,5,0)</f>
        <v>#N/A</v>
      </c>
      <c r="X131" s="25"/>
      <c r="Y131" s="25"/>
      <c r="Z131" s="25"/>
      <c r="AA131" s="25"/>
      <c r="AB131" s="25" t="s">
        <v>108</v>
      </c>
    </row>
    <row r="132" spans="2:28" x14ac:dyDescent="0.3">
      <c r="B132" s="2">
        <v>48</v>
      </c>
      <c r="C132" s="68"/>
      <c r="D132" s="71">
        <v>4003549</v>
      </c>
      <c r="E132" s="96" t="s">
        <v>366</v>
      </c>
      <c r="F132" s="70" t="e">
        <f>VLOOKUP(B132,REQUISICIÓN!$C$9:$E$125,3,0)</f>
        <v>#N/A</v>
      </c>
      <c r="G132" s="70" t="s">
        <v>4</v>
      </c>
      <c r="H132" s="14">
        <v>25.8</v>
      </c>
      <c r="I132" s="14"/>
      <c r="J132" s="15">
        <v>0</v>
      </c>
      <c r="K132" s="15">
        <f>425/10</f>
        <v>42.5</v>
      </c>
      <c r="L132" s="15"/>
      <c r="M132" s="15">
        <v>0</v>
      </c>
      <c r="N132" s="15"/>
      <c r="O132" s="14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6">
        <f t="shared" si="2"/>
        <v>25.8</v>
      </c>
      <c r="W132" s="26" t="e">
        <f>VLOOKUP(B132,REQUISICIÓN!$C$9:$G$509,5,0)</f>
        <v>#N/A</v>
      </c>
      <c r="X132" s="25"/>
      <c r="Y132" s="2"/>
      <c r="Z132" s="73"/>
      <c r="AA132" s="25"/>
      <c r="AB132" s="25" t="e">
        <f>VLOOKUP(#REF!,REQUISICIÓN!#REF!,6,0)</f>
        <v>#REF!</v>
      </c>
    </row>
    <row r="133" spans="2:28" x14ac:dyDescent="0.3">
      <c r="B133" s="81">
        <v>80</v>
      </c>
      <c r="C133" s="71">
        <v>17502224240649</v>
      </c>
      <c r="D133" s="71">
        <v>1106002</v>
      </c>
      <c r="E133" s="96" t="s">
        <v>141</v>
      </c>
      <c r="F133" s="70" t="e">
        <f>VLOOKUP(B133,REQUISICIÓN!$C$9:$E$125,3,0)</f>
        <v>#N/A</v>
      </c>
      <c r="G133" s="77" t="s">
        <v>9</v>
      </c>
      <c r="H133" s="14">
        <v>150</v>
      </c>
      <c r="I133" s="14"/>
      <c r="J133" s="14">
        <v>218</v>
      </c>
      <c r="K133" s="14">
        <v>162</v>
      </c>
      <c r="L133" s="14"/>
      <c r="M133" s="15">
        <v>0</v>
      </c>
      <c r="N133" s="15"/>
      <c r="O133" s="14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6">
        <f t="shared" si="2"/>
        <v>150</v>
      </c>
      <c r="W133" s="26" t="e">
        <f>VLOOKUP(B133,REQUISICIÓN!$C$9:$G$509,5,0)</f>
        <v>#N/A</v>
      </c>
      <c r="X133" s="25"/>
      <c r="Y133" s="2"/>
      <c r="Z133" s="73"/>
      <c r="AA133" s="74"/>
      <c r="AB133" s="25"/>
    </row>
    <row r="134" spans="2:28" x14ac:dyDescent="0.3">
      <c r="B134" s="81">
        <v>79</v>
      </c>
      <c r="C134" s="82"/>
      <c r="D134" s="71">
        <v>1106003</v>
      </c>
      <c r="E134" s="96" t="s">
        <v>246</v>
      </c>
      <c r="F134" s="70">
        <f>VLOOKUP(B134,REQUISICIÓN!$C$9:$E$125,3,0)</f>
        <v>1</v>
      </c>
      <c r="G134" s="70" t="s">
        <v>9</v>
      </c>
      <c r="H134" s="14">
        <v>150</v>
      </c>
      <c r="I134" s="14">
        <v>179</v>
      </c>
      <c r="J134" s="15">
        <v>245</v>
      </c>
      <c r="K134" s="15">
        <v>162</v>
      </c>
      <c r="L134" s="15"/>
      <c r="M134" s="15">
        <v>0</v>
      </c>
      <c r="N134" s="15">
        <v>198.98</v>
      </c>
      <c r="O134" s="14">
        <v>136.25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6">
        <f t="shared" si="2"/>
        <v>136.25</v>
      </c>
      <c r="W134" s="26">
        <f>VLOOKUP(B134,REQUISICIÓN!$C$9:$G$509,5,0)</f>
        <v>41</v>
      </c>
      <c r="X134" s="25"/>
      <c r="Y134" s="2"/>
      <c r="Z134" s="73"/>
      <c r="AA134" s="25"/>
      <c r="AB134" s="25" t="s">
        <v>110</v>
      </c>
    </row>
    <row r="135" spans="2:28" hidden="1" x14ac:dyDescent="0.3">
      <c r="B135" s="81">
        <v>28</v>
      </c>
      <c r="C135" s="82"/>
      <c r="D135" s="71">
        <v>0</v>
      </c>
      <c r="E135" s="61" t="s">
        <v>247</v>
      </c>
      <c r="F135" s="70" t="e">
        <f>VLOOKUP(B135,REQUISICIÓN!$C$9:$E$125,3,0)</f>
        <v>#N/A</v>
      </c>
      <c r="G135" s="72" t="s">
        <v>9</v>
      </c>
      <c r="H135" s="14">
        <v>150</v>
      </c>
      <c r="I135" s="14"/>
      <c r="J135" s="15">
        <v>0</v>
      </c>
      <c r="K135" s="15"/>
      <c r="L135" s="15"/>
      <c r="M135" s="15">
        <v>0</v>
      </c>
      <c r="N135" s="15"/>
      <c r="O135" s="14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6">
        <f t="shared" si="2"/>
        <v>150</v>
      </c>
      <c r="W135" s="26" t="e">
        <f>VLOOKUP(B135,REQUISICIÓN!$C$9:$G$509,5,0)</f>
        <v>#N/A</v>
      </c>
      <c r="X135" s="25"/>
      <c r="Y135" s="25"/>
      <c r="Z135" s="25"/>
      <c r="AA135" s="25"/>
      <c r="AB135" s="25" t="s">
        <v>107</v>
      </c>
    </row>
    <row r="136" spans="2:28" hidden="1" x14ac:dyDescent="0.3">
      <c r="B136" s="81">
        <v>29</v>
      </c>
      <c r="C136" s="82"/>
      <c r="D136" s="71">
        <v>0</v>
      </c>
      <c r="E136" s="61" t="s">
        <v>143</v>
      </c>
      <c r="F136" s="70" t="e">
        <f>VLOOKUP(B136,REQUISICIÓN!$C$9:$E$125,3,0)</f>
        <v>#N/A</v>
      </c>
      <c r="G136" s="77" t="s">
        <v>9</v>
      </c>
      <c r="H136" s="14">
        <v>124.5</v>
      </c>
      <c r="I136" s="14"/>
      <c r="J136" s="15">
        <v>0</v>
      </c>
      <c r="K136" s="15"/>
      <c r="L136" s="15"/>
      <c r="M136" s="15">
        <v>0</v>
      </c>
      <c r="N136" s="15"/>
      <c r="O136" s="14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6">
        <f t="shared" si="2"/>
        <v>124.5</v>
      </c>
      <c r="W136" s="26" t="e">
        <f>VLOOKUP(B136,REQUISICIÓN!$C$9:$G$509,5,0)</f>
        <v>#N/A</v>
      </c>
      <c r="X136" s="25"/>
      <c r="Y136" s="25"/>
      <c r="Z136" s="25"/>
      <c r="AA136" s="25"/>
      <c r="AB136" s="25"/>
    </row>
    <row r="137" spans="2:28" x14ac:dyDescent="0.3">
      <c r="B137" s="2">
        <v>82</v>
      </c>
      <c r="C137" s="68"/>
      <c r="D137" s="71">
        <v>0</v>
      </c>
      <c r="E137" s="96" t="s">
        <v>142</v>
      </c>
      <c r="F137" s="70" t="e">
        <f>VLOOKUP(B137,REQUISICIÓN!$C$9:$E$125,3,0)</f>
        <v>#N/A</v>
      </c>
      <c r="G137" s="72" t="s">
        <v>9</v>
      </c>
      <c r="H137" s="14">
        <v>124.5</v>
      </c>
      <c r="I137" s="14"/>
      <c r="J137" s="15">
        <v>180</v>
      </c>
      <c r="K137" s="15">
        <v>152</v>
      </c>
      <c r="L137" s="15"/>
      <c r="M137" s="15">
        <v>0</v>
      </c>
      <c r="N137" s="15"/>
      <c r="O137" s="14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6">
        <f t="shared" ref="V137:V200" si="3">SMALL(H137:U137,COUNTIF(H137:U137,"&lt;=0")+1)</f>
        <v>124.5</v>
      </c>
      <c r="W137" s="26" t="e">
        <f>VLOOKUP(B137,REQUISICIÓN!$C$9:$G$509,5,0)</f>
        <v>#N/A</v>
      </c>
      <c r="X137" s="25"/>
      <c r="Y137" s="2"/>
      <c r="Z137" s="73"/>
      <c r="AA137" s="25"/>
      <c r="AB137" s="25"/>
    </row>
    <row r="138" spans="2:28" x14ac:dyDescent="0.3">
      <c r="B138" s="81">
        <v>231</v>
      </c>
      <c r="C138" s="68"/>
      <c r="D138" s="71"/>
      <c r="E138" s="96" t="s">
        <v>361</v>
      </c>
      <c r="F138" s="70" t="e">
        <f>VLOOKUP(B138,REQUISICIÓN!$C$9:$E$125,3,0)</f>
        <v>#N/A</v>
      </c>
      <c r="G138" s="72" t="s">
        <v>9</v>
      </c>
      <c r="H138" s="14"/>
      <c r="I138" s="14"/>
      <c r="J138" s="15"/>
      <c r="K138" s="15">
        <v>110</v>
      </c>
      <c r="L138" s="15"/>
      <c r="M138" s="15"/>
      <c r="N138" s="15"/>
      <c r="O138" s="14"/>
      <c r="P138" s="15"/>
      <c r="Q138" s="15"/>
      <c r="R138" s="15"/>
      <c r="S138" s="15"/>
      <c r="T138" s="15"/>
      <c r="U138" s="15"/>
      <c r="V138" s="16">
        <f t="shared" si="3"/>
        <v>110</v>
      </c>
      <c r="W138" s="26" t="e">
        <f>VLOOKUP(B138,REQUISICIÓN!$C$9:$G$509,5,0)</f>
        <v>#N/A</v>
      </c>
      <c r="X138" s="25"/>
      <c r="Y138" s="2"/>
      <c r="Z138" s="73"/>
      <c r="AA138" s="25"/>
      <c r="AB138" s="25"/>
    </row>
    <row r="139" spans="2:28" hidden="1" x14ac:dyDescent="0.3">
      <c r="B139" s="81">
        <v>159</v>
      </c>
      <c r="C139" s="68"/>
      <c r="D139" s="71">
        <v>7502224243384</v>
      </c>
      <c r="E139" s="61" t="s">
        <v>189</v>
      </c>
      <c r="F139" s="70" t="e">
        <f>VLOOKUP(B139,REQUISICIÓN!$C$9:$E$125,3,0)</f>
        <v>#N/A</v>
      </c>
      <c r="G139" s="77" t="s">
        <v>9</v>
      </c>
      <c r="H139" s="14">
        <v>0</v>
      </c>
      <c r="I139" s="14"/>
      <c r="J139" s="15">
        <v>0</v>
      </c>
      <c r="K139" s="15"/>
      <c r="L139" s="15"/>
      <c r="M139" s="15">
        <v>0</v>
      </c>
      <c r="N139" s="15"/>
      <c r="O139" s="14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6" t="e">
        <f t="shared" si="3"/>
        <v>#NUM!</v>
      </c>
      <c r="W139" s="26" t="e">
        <f>VLOOKUP(B139,REQUISICIÓN!$C$9:$G$509,5,0)</f>
        <v>#N/A</v>
      </c>
      <c r="X139" s="2"/>
      <c r="Y139" s="2"/>
      <c r="Z139" s="25"/>
      <c r="AA139" s="2"/>
      <c r="AB139" s="25"/>
    </row>
    <row r="140" spans="2:28" hidden="1" x14ac:dyDescent="0.3">
      <c r="B140" s="2">
        <v>81</v>
      </c>
      <c r="C140" s="68"/>
      <c r="D140" s="71">
        <v>101101003</v>
      </c>
      <c r="E140" s="61" t="s">
        <v>144</v>
      </c>
      <c r="F140" s="70" t="e">
        <f>VLOOKUP(B140,REQUISICIÓN!$C$9:$E$125,3,0)</f>
        <v>#N/A</v>
      </c>
      <c r="G140" s="72" t="s">
        <v>9</v>
      </c>
      <c r="H140" s="14">
        <v>129.5</v>
      </c>
      <c r="I140" s="14"/>
      <c r="J140" s="14">
        <v>145</v>
      </c>
      <c r="K140" s="14"/>
      <c r="L140" s="14"/>
      <c r="M140" s="15">
        <v>0</v>
      </c>
      <c r="N140" s="15"/>
      <c r="O140" s="14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6">
        <f t="shared" si="3"/>
        <v>129.5</v>
      </c>
      <c r="W140" s="26" t="e">
        <f>VLOOKUP(B140,REQUISICIÓN!$C$9:$G$509,5,0)</f>
        <v>#N/A</v>
      </c>
      <c r="X140" s="25"/>
      <c r="Y140" s="2"/>
      <c r="Z140" s="73"/>
      <c r="AA140" s="25"/>
      <c r="AB140" s="75"/>
    </row>
    <row r="141" spans="2:28" x14ac:dyDescent="0.3">
      <c r="B141" s="81">
        <v>30</v>
      </c>
      <c r="C141" s="82"/>
      <c r="D141" s="71">
        <v>0</v>
      </c>
      <c r="E141" s="96" t="s">
        <v>147</v>
      </c>
      <c r="F141" s="70">
        <f>VLOOKUP(B141,REQUISICIÓN!$C$9:$E$125,3,0)</f>
        <v>3</v>
      </c>
      <c r="G141" s="77" t="s">
        <v>9</v>
      </c>
      <c r="H141" s="14">
        <v>129.4</v>
      </c>
      <c r="I141" s="14">
        <v>129.4</v>
      </c>
      <c r="J141" s="15">
        <v>200</v>
      </c>
      <c r="K141" s="15">
        <v>110</v>
      </c>
      <c r="L141" s="15"/>
      <c r="M141" s="15">
        <v>106.61539999999999</v>
      </c>
      <c r="N141" s="15">
        <v>132.72</v>
      </c>
      <c r="O141" s="14">
        <v>85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6">
        <f t="shared" si="3"/>
        <v>85</v>
      </c>
      <c r="W141" s="26">
        <f>VLOOKUP(B141,REQUISICIÓN!$C$9:$G$509,5,0)</f>
        <v>41</v>
      </c>
      <c r="X141" s="25"/>
      <c r="Y141" s="25"/>
      <c r="Z141" s="25"/>
      <c r="AA141" s="25"/>
      <c r="AB141" s="25" t="e">
        <f>VLOOKUP(#REF!,REQUISICIÓN!#REF!,6,0)</f>
        <v>#REF!</v>
      </c>
    </row>
    <row r="142" spans="2:28" hidden="1" x14ac:dyDescent="0.3">
      <c r="B142" s="81">
        <v>10</v>
      </c>
      <c r="C142" s="82"/>
      <c r="D142" s="71">
        <v>0</v>
      </c>
      <c r="E142" s="61" t="s">
        <v>5</v>
      </c>
      <c r="F142" s="70" t="e">
        <f>VLOOKUP(B142,REQUISICIÓN!$C$9:$E$125,3,0)</f>
        <v>#N/A</v>
      </c>
      <c r="G142" s="78" t="s">
        <v>4</v>
      </c>
      <c r="H142" s="14">
        <v>0</v>
      </c>
      <c r="I142" s="14"/>
      <c r="J142" s="15">
        <v>0</v>
      </c>
      <c r="K142" s="15"/>
      <c r="L142" s="15"/>
      <c r="M142" s="15">
        <v>0</v>
      </c>
      <c r="N142" s="15"/>
      <c r="O142" s="14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6" t="e">
        <f t="shared" si="3"/>
        <v>#NUM!</v>
      </c>
      <c r="W142" s="26" t="e">
        <f>VLOOKUP(B142,REQUISICIÓN!$C$9:$G$509,5,0)</f>
        <v>#N/A</v>
      </c>
      <c r="X142" s="25"/>
      <c r="Y142" s="25"/>
      <c r="Z142" s="25"/>
      <c r="AA142" s="25"/>
      <c r="AB142" s="76"/>
    </row>
    <row r="143" spans="2:28" hidden="1" x14ac:dyDescent="0.3">
      <c r="B143" s="81">
        <v>160</v>
      </c>
      <c r="C143" s="82"/>
      <c r="D143" s="71" t="s">
        <v>190</v>
      </c>
      <c r="E143" s="61" t="s">
        <v>191</v>
      </c>
      <c r="F143" s="70" t="e">
        <f>VLOOKUP(B143,REQUISICIÓN!$C$9:$E$125,3,0)</f>
        <v>#N/A</v>
      </c>
      <c r="G143" s="72" t="s">
        <v>192</v>
      </c>
      <c r="H143" s="14">
        <v>0</v>
      </c>
      <c r="I143" s="14"/>
      <c r="J143" s="15">
        <v>0</v>
      </c>
      <c r="K143" s="15"/>
      <c r="L143" s="15"/>
      <c r="M143" s="15">
        <v>0</v>
      </c>
      <c r="N143" s="15"/>
      <c r="O143" s="14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6" t="e">
        <f t="shared" si="3"/>
        <v>#NUM!</v>
      </c>
      <c r="W143" s="26" t="e">
        <f>VLOOKUP(B143,REQUISICIÓN!$C$9:$G$509,5,0)</f>
        <v>#N/A</v>
      </c>
      <c r="X143" s="2"/>
      <c r="Y143" s="2"/>
      <c r="Z143" s="25"/>
      <c r="AA143" s="2"/>
      <c r="AB143" s="25"/>
    </row>
    <row r="144" spans="2:28" x14ac:dyDescent="0.3">
      <c r="B144" s="2">
        <v>31</v>
      </c>
      <c r="C144" s="68"/>
      <c r="D144" s="71">
        <v>7144204</v>
      </c>
      <c r="E144" s="96" t="s">
        <v>80</v>
      </c>
      <c r="F144" s="70" t="e">
        <f>VLOOKUP(B144,REQUISICIÓN!$C$9:$E$125,3,0)</f>
        <v>#N/A</v>
      </c>
      <c r="G144" s="72" t="s">
        <v>4</v>
      </c>
      <c r="H144" s="14">
        <v>259</v>
      </c>
      <c r="I144" s="14"/>
      <c r="J144" s="15">
        <v>0</v>
      </c>
      <c r="K144" s="15">
        <v>262</v>
      </c>
      <c r="L144" s="15"/>
      <c r="M144" s="15">
        <v>0</v>
      </c>
      <c r="N144" s="15"/>
      <c r="O144" s="14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6">
        <f t="shared" si="3"/>
        <v>259</v>
      </c>
      <c r="W144" s="26" t="e">
        <f>VLOOKUP(B144,REQUISICIÓN!$C$9:$G$509,5,0)</f>
        <v>#N/A</v>
      </c>
      <c r="X144" s="25"/>
      <c r="Y144" s="2"/>
      <c r="Z144" s="73"/>
      <c r="AA144" s="25"/>
      <c r="AB144" s="25"/>
    </row>
    <row r="145" spans="2:28" hidden="1" x14ac:dyDescent="0.3">
      <c r="B145" s="81">
        <v>102</v>
      </c>
      <c r="C145" s="82"/>
      <c r="D145" s="71">
        <v>742055</v>
      </c>
      <c r="E145" s="61" t="s">
        <v>248</v>
      </c>
      <c r="F145" s="70" t="e">
        <f>VLOOKUP(B145,REQUISICIÓN!$C$9:$E$125,3,0)</f>
        <v>#N/A</v>
      </c>
      <c r="G145" s="70" t="s">
        <v>4</v>
      </c>
      <c r="H145" s="14">
        <v>240.3</v>
      </c>
      <c r="I145" s="14"/>
      <c r="J145" s="14">
        <v>270</v>
      </c>
      <c r="K145" s="14"/>
      <c r="L145" s="14"/>
      <c r="M145" s="15">
        <v>0</v>
      </c>
      <c r="N145" s="15"/>
      <c r="O145" s="14">
        <v>0</v>
      </c>
      <c r="P145" s="15">
        <v>0</v>
      </c>
      <c r="Q145" s="15">
        <v>0</v>
      </c>
      <c r="R145" s="15">
        <v>0</v>
      </c>
      <c r="S145" s="14">
        <f>26.68/1.16</f>
        <v>23</v>
      </c>
      <c r="T145" s="15">
        <v>0</v>
      </c>
      <c r="U145" s="15">
        <v>0</v>
      </c>
      <c r="V145" s="16">
        <f t="shared" si="3"/>
        <v>23</v>
      </c>
      <c r="W145" s="26" t="e">
        <f>VLOOKUP(B145,REQUISICIÓN!$C$9:$G$509,5,0)</f>
        <v>#N/A</v>
      </c>
      <c r="X145" s="25"/>
      <c r="Y145" s="25"/>
      <c r="Z145" s="25"/>
      <c r="AA145" s="25"/>
      <c r="AB145" s="25" t="e">
        <f>VLOOKUP(#REF!,REQUISICIÓN!#REF!,6,0)</f>
        <v>#REF!</v>
      </c>
    </row>
    <row r="146" spans="2:28" hidden="1" x14ac:dyDescent="0.3">
      <c r="B146" s="81">
        <v>103</v>
      </c>
      <c r="C146" s="82"/>
      <c r="D146" s="71">
        <v>74209</v>
      </c>
      <c r="E146" s="61" t="s">
        <v>249</v>
      </c>
      <c r="F146" s="70" t="e">
        <f>VLOOKUP(B146,REQUISICIÓN!$C$9:$E$125,3,0)</f>
        <v>#N/A</v>
      </c>
      <c r="G146" s="70" t="s">
        <v>4</v>
      </c>
      <c r="H146" s="14">
        <v>240.3</v>
      </c>
      <c r="I146" s="14"/>
      <c r="J146" s="14">
        <v>270</v>
      </c>
      <c r="K146" s="14"/>
      <c r="L146" s="14"/>
      <c r="M146" s="15">
        <v>0</v>
      </c>
      <c r="N146" s="15"/>
      <c r="O146" s="14">
        <v>0</v>
      </c>
      <c r="P146" s="15">
        <v>0</v>
      </c>
      <c r="Q146" s="15">
        <v>0</v>
      </c>
      <c r="R146" s="15">
        <v>0</v>
      </c>
      <c r="S146" s="14">
        <f>26.68/1.16</f>
        <v>23</v>
      </c>
      <c r="T146" s="15">
        <v>0</v>
      </c>
      <c r="U146" s="15">
        <v>0</v>
      </c>
      <c r="V146" s="16">
        <f t="shared" si="3"/>
        <v>23</v>
      </c>
      <c r="W146" s="26" t="e">
        <f>VLOOKUP(B146,REQUISICIÓN!$C$9:$G$509,5,0)</f>
        <v>#N/A</v>
      </c>
      <c r="X146" s="25"/>
      <c r="Y146" s="25"/>
      <c r="Z146" s="25"/>
      <c r="AA146" s="25"/>
      <c r="AB146" s="25" t="e">
        <f>VLOOKUP(#REF!,REQUISICIÓN!#REF!,6,0)</f>
        <v>#REF!</v>
      </c>
    </row>
    <row r="147" spans="2:28" hidden="1" x14ac:dyDescent="0.3">
      <c r="B147" s="2">
        <v>192</v>
      </c>
      <c r="C147" s="68"/>
      <c r="D147" s="71">
        <v>0</v>
      </c>
      <c r="E147" s="61" t="s">
        <v>193</v>
      </c>
      <c r="F147" s="70" t="e">
        <f>VLOOKUP(B147,REQUISICIÓN!$C$9:$E$125,3,0)</f>
        <v>#N/A</v>
      </c>
      <c r="G147" s="70" t="s">
        <v>9</v>
      </c>
      <c r="H147" s="14">
        <v>0</v>
      </c>
      <c r="I147" s="14"/>
      <c r="J147" s="15">
        <v>0</v>
      </c>
      <c r="K147" s="15"/>
      <c r="L147" s="15"/>
      <c r="M147" s="15">
        <v>0</v>
      </c>
      <c r="N147" s="15"/>
      <c r="O147" s="14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6" t="e">
        <f t="shared" si="3"/>
        <v>#NUM!</v>
      </c>
      <c r="W147" s="26" t="e">
        <f>VLOOKUP(B147,REQUISICIÓN!$C$9:$G$509,5,0)</f>
        <v>#N/A</v>
      </c>
      <c r="X147" s="2"/>
      <c r="Y147" s="2"/>
      <c r="Z147" s="25"/>
      <c r="AA147" s="2"/>
      <c r="AB147" s="25"/>
    </row>
    <row r="148" spans="2:28" hidden="1" x14ac:dyDescent="0.3">
      <c r="B148" s="81">
        <v>193</v>
      </c>
      <c r="C148" s="82"/>
      <c r="D148" s="71">
        <v>0</v>
      </c>
      <c r="E148" s="61" t="s">
        <v>194</v>
      </c>
      <c r="F148" s="70" t="e">
        <f>VLOOKUP(B148,REQUISICIÓN!$C$9:$E$125,3,0)</f>
        <v>#N/A</v>
      </c>
      <c r="G148" s="70" t="s">
        <v>9</v>
      </c>
      <c r="H148" s="14">
        <v>0</v>
      </c>
      <c r="I148" s="14"/>
      <c r="J148" s="15">
        <v>0</v>
      </c>
      <c r="K148" s="15"/>
      <c r="L148" s="15"/>
      <c r="M148" s="15">
        <v>0</v>
      </c>
      <c r="N148" s="15"/>
      <c r="O148" s="14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6" t="e">
        <f t="shared" si="3"/>
        <v>#NUM!</v>
      </c>
      <c r="W148" s="26" t="e">
        <f>VLOOKUP(B148,REQUISICIÓN!$C$9:$G$509,5,0)</f>
        <v>#N/A</v>
      </c>
      <c r="X148" s="2"/>
      <c r="Y148" s="2"/>
      <c r="Z148" s="25"/>
      <c r="AA148" s="2"/>
      <c r="AB148" s="25"/>
    </row>
    <row r="149" spans="2:28" hidden="1" x14ac:dyDescent="0.3">
      <c r="B149" s="2">
        <v>99</v>
      </c>
      <c r="C149" s="68"/>
      <c r="D149" s="71">
        <v>381267</v>
      </c>
      <c r="E149" s="61" t="s">
        <v>29</v>
      </c>
      <c r="F149" s="70" t="e">
        <f>VLOOKUP(B149,REQUISICIÓN!$C$9:$E$125,3,0)</f>
        <v>#N/A</v>
      </c>
      <c r="G149" s="70" t="s">
        <v>11</v>
      </c>
      <c r="H149" s="14">
        <v>17</v>
      </c>
      <c r="I149" s="14"/>
      <c r="J149" s="14">
        <f>1035/50</f>
        <v>20.7</v>
      </c>
      <c r="K149" s="14"/>
      <c r="L149" s="14"/>
      <c r="M149" s="15">
        <v>0</v>
      </c>
      <c r="N149" s="15"/>
      <c r="O149" s="14">
        <f>705.6/50</f>
        <v>14.112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6">
        <f t="shared" si="3"/>
        <v>14.112</v>
      </c>
      <c r="W149" s="26" t="e">
        <f>VLOOKUP(B149,REQUISICIÓN!$C$9:$G$509,5,0)</f>
        <v>#N/A</v>
      </c>
      <c r="X149" s="25"/>
      <c r="Y149" s="25"/>
      <c r="Z149" s="25"/>
      <c r="AA149" s="25"/>
      <c r="AB149" s="25"/>
    </row>
    <row r="150" spans="2:28" hidden="1" x14ac:dyDescent="0.3">
      <c r="B150" s="81">
        <v>113</v>
      </c>
      <c r="C150" s="82"/>
      <c r="D150" s="71">
        <v>388312</v>
      </c>
      <c r="E150" s="61" t="s">
        <v>53</v>
      </c>
      <c r="F150" s="70" t="e">
        <f>VLOOKUP(B150,REQUISICIÓN!$C$9:$E$125,3,0)</f>
        <v>#N/A</v>
      </c>
      <c r="G150" s="78" t="s">
        <v>11</v>
      </c>
      <c r="H150" s="14">
        <v>0</v>
      </c>
      <c r="I150" s="14"/>
      <c r="J150" s="14">
        <v>750</v>
      </c>
      <c r="K150" s="14"/>
      <c r="L150" s="14"/>
      <c r="M150" s="15">
        <v>0</v>
      </c>
      <c r="N150" s="15"/>
      <c r="O150" s="14">
        <v>0</v>
      </c>
      <c r="P150" s="15">
        <v>0</v>
      </c>
      <c r="Q150" s="15">
        <v>0</v>
      </c>
      <c r="R150" s="15">
        <v>0</v>
      </c>
      <c r="S150" s="14">
        <v>0</v>
      </c>
      <c r="T150" s="15">
        <v>0</v>
      </c>
      <c r="U150" s="15">
        <v>0</v>
      </c>
      <c r="V150" s="16">
        <f t="shared" si="3"/>
        <v>750</v>
      </c>
      <c r="W150" s="26" t="e">
        <f>VLOOKUP(B150,REQUISICIÓN!$C$9:$G$509,5,0)</f>
        <v>#N/A</v>
      </c>
      <c r="X150" s="25"/>
      <c r="Y150" s="25"/>
      <c r="Z150" s="25"/>
      <c r="AA150" s="25"/>
      <c r="AB150" s="25"/>
    </row>
    <row r="151" spans="2:28" hidden="1" x14ac:dyDescent="0.3">
      <c r="B151" s="81">
        <v>117</v>
      </c>
      <c r="C151" s="82"/>
      <c r="D151" s="71">
        <v>388311</v>
      </c>
      <c r="E151" s="61" t="s">
        <v>70</v>
      </c>
      <c r="F151" s="70" t="e">
        <f>VLOOKUP(B151,REQUISICIÓN!$C$9:$E$125,3,0)</f>
        <v>#N/A</v>
      </c>
      <c r="G151" s="78" t="s">
        <v>11</v>
      </c>
      <c r="H151" s="14">
        <v>0</v>
      </c>
      <c r="I151" s="14"/>
      <c r="J151" s="14">
        <v>750</v>
      </c>
      <c r="K151" s="14"/>
      <c r="L151" s="14"/>
      <c r="M151" s="15">
        <v>0</v>
      </c>
      <c r="N151" s="15"/>
      <c r="O151" s="14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6">
        <f t="shared" si="3"/>
        <v>750</v>
      </c>
      <c r="W151" s="26" t="e">
        <f>VLOOKUP(B151,REQUISICIÓN!$C$9:$G$509,5,0)</f>
        <v>#N/A</v>
      </c>
      <c r="X151" s="25"/>
      <c r="Y151" s="2"/>
      <c r="Z151" s="25"/>
      <c r="AA151" s="2"/>
      <c r="AB151" s="25"/>
    </row>
    <row r="152" spans="2:28" hidden="1" x14ac:dyDescent="0.3">
      <c r="B152" s="81">
        <v>85</v>
      </c>
      <c r="C152" s="82"/>
      <c r="D152" s="71">
        <v>4251300</v>
      </c>
      <c r="E152" s="61" t="s">
        <v>146</v>
      </c>
      <c r="F152" s="70" t="e">
        <f>VLOOKUP(B152,REQUISICIÓN!$C$9:$E$125,3,0)</f>
        <v>#N/A</v>
      </c>
      <c r="G152" s="78" t="s">
        <v>11</v>
      </c>
      <c r="H152" s="14">
        <v>0</v>
      </c>
      <c r="I152" s="14"/>
      <c r="J152" s="15">
        <v>0</v>
      </c>
      <c r="K152" s="15"/>
      <c r="L152" s="15"/>
      <c r="M152" s="14">
        <v>770.45</v>
      </c>
      <c r="N152" s="14"/>
      <c r="O152" s="14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6">
        <f t="shared" si="3"/>
        <v>770.45</v>
      </c>
      <c r="W152" s="26" t="e">
        <f>VLOOKUP(B152,REQUISICIÓN!$C$9:$G$509,5,0)</f>
        <v>#N/A</v>
      </c>
      <c r="X152" s="25"/>
      <c r="Y152" s="2"/>
      <c r="Z152" s="73"/>
      <c r="AA152" s="25"/>
      <c r="AB152" s="25"/>
    </row>
    <row r="153" spans="2:28" hidden="1" x14ac:dyDescent="0.3">
      <c r="B153" s="81">
        <v>149</v>
      </c>
      <c r="C153" s="82"/>
      <c r="D153" s="71">
        <v>0</v>
      </c>
      <c r="E153" s="61" t="s">
        <v>305</v>
      </c>
      <c r="F153" s="70" t="e">
        <f>VLOOKUP(B153,REQUISICIÓN!$C$9:$E$125,3,0)</f>
        <v>#N/A</v>
      </c>
      <c r="G153" s="78" t="s">
        <v>4</v>
      </c>
      <c r="H153" s="14">
        <v>0</v>
      </c>
      <c r="I153" s="14"/>
      <c r="J153" s="15">
        <v>0</v>
      </c>
      <c r="K153" s="15"/>
      <c r="L153" s="15"/>
      <c r="M153" s="15">
        <v>0</v>
      </c>
      <c r="N153" s="15"/>
      <c r="O153" s="14">
        <v>0</v>
      </c>
      <c r="P153" s="15">
        <v>0</v>
      </c>
      <c r="Q153" s="15">
        <v>0</v>
      </c>
      <c r="R153" s="15">
        <v>0</v>
      </c>
      <c r="S153" s="15">
        <v>0</v>
      </c>
      <c r="T153" s="14">
        <f>35/1.16</f>
        <v>30.172413793103452</v>
      </c>
      <c r="U153" s="15">
        <v>0</v>
      </c>
      <c r="V153" s="16">
        <f t="shared" si="3"/>
        <v>30.172413793103452</v>
      </c>
      <c r="W153" s="26" t="e">
        <f>VLOOKUP(B153,REQUISICIÓN!$C$9:$G$509,5,0)</f>
        <v>#N/A</v>
      </c>
      <c r="X153" s="25"/>
      <c r="Y153" s="2"/>
      <c r="Z153" s="73"/>
      <c r="AA153" s="25"/>
      <c r="AB153" s="25"/>
    </row>
    <row r="154" spans="2:28" hidden="1" x14ac:dyDescent="0.3">
      <c r="B154" s="81">
        <v>88</v>
      </c>
      <c r="C154" s="82"/>
      <c r="D154" s="71">
        <v>1020075</v>
      </c>
      <c r="E154" s="61" t="s">
        <v>26</v>
      </c>
      <c r="F154" s="70" t="e">
        <f>VLOOKUP(B154,REQUISICIÓN!$C$9:$E$125,3,0)</f>
        <v>#N/A</v>
      </c>
      <c r="G154" s="78" t="s">
        <v>4</v>
      </c>
      <c r="H154" s="14">
        <v>57.4</v>
      </c>
      <c r="I154" s="14"/>
      <c r="J154" s="14">
        <v>69</v>
      </c>
      <c r="K154" s="14"/>
      <c r="L154" s="14"/>
      <c r="M154" s="15">
        <v>0</v>
      </c>
      <c r="N154" s="15"/>
      <c r="O154" s="14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6">
        <f t="shared" si="3"/>
        <v>57.4</v>
      </c>
      <c r="W154" s="26" t="e">
        <f>VLOOKUP(B154,REQUISICIÓN!$C$9:$G$509,5,0)</f>
        <v>#N/A</v>
      </c>
      <c r="X154" s="25"/>
      <c r="Y154" s="2"/>
      <c r="Z154" s="73"/>
      <c r="AA154" s="25"/>
      <c r="AB154" s="25"/>
    </row>
    <row r="155" spans="2:28" hidden="1" x14ac:dyDescent="0.3">
      <c r="B155" s="2">
        <v>94</v>
      </c>
      <c r="C155" s="68"/>
      <c r="D155" s="71">
        <v>0</v>
      </c>
      <c r="E155" s="61" t="s">
        <v>98</v>
      </c>
      <c r="F155" s="70" t="e">
        <f>VLOOKUP(B155,REQUISICIÓN!$C$9:$E$125,3,0)</f>
        <v>#N/A</v>
      </c>
      <c r="G155" s="70" t="s">
        <v>4</v>
      </c>
      <c r="H155" s="14">
        <v>0</v>
      </c>
      <c r="I155" s="14"/>
      <c r="J155" s="14">
        <v>105</v>
      </c>
      <c r="K155" s="14"/>
      <c r="L155" s="14"/>
      <c r="M155" s="15">
        <v>0</v>
      </c>
      <c r="N155" s="15"/>
      <c r="O155" s="14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6">
        <f t="shared" si="3"/>
        <v>105</v>
      </c>
      <c r="W155" s="26" t="e">
        <f>VLOOKUP(B155,REQUISICIÓN!$C$9:$G$509,5,0)</f>
        <v>#N/A</v>
      </c>
      <c r="X155" s="25"/>
      <c r="Y155" s="25"/>
      <c r="Z155" s="25"/>
      <c r="AA155" s="25"/>
      <c r="AB155" s="25"/>
    </row>
    <row r="156" spans="2:28" x14ac:dyDescent="0.3">
      <c r="B156" s="84">
        <v>32</v>
      </c>
      <c r="C156" s="68"/>
      <c r="D156" s="71">
        <v>326716</v>
      </c>
      <c r="E156" s="96" t="s">
        <v>301</v>
      </c>
      <c r="F156" s="70" t="e">
        <f>VLOOKUP(B156,REQUISICIÓN!$C$9:$E$125,3,0)</f>
        <v>#N/A</v>
      </c>
      <c r="G156" s="72" t="s">
        <v>9</v>
      </c>
      <c r="H156" s="55">
        <f>3.49*100</f>
        <v>349</v>
      </c>
      <c r="I156" s="55"/>
      <c r="J156" s="14">
        <v>430.4</v>
      </c>
      <c r="K156" s="14">
        <v>257</v>
      </c>
      <c r="L156" s="14"/>
      <c r="M156" s="15">
        <v>0</v>
      </c>
      <c r="N156" s="15"/>
      <c r="O156" s="14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6">
        <f t="shared" si="3"/>
        <v>257</v>
      </c>
      <c r="W156" s="26" t="e">
        <f>VLOOKUP(B156,REQUISICIÓN!$C$9:$G$509,5,0)</f>
        <v>#N/A</v>
      </c>
      <c r="X156" s="76"/>
      <c r="Y156" s="85"/>
      <c r="Z156" s="86"/>
      <c r="AA156" s="76"/>
      <c r="AB156" s="76"/>
    </row>
    <row r="157" spans="2:28" x14ac:dyDescent="0.3">
      <c r="B157" s="84">
        <v>232</v>
      </c>
      <c r="C157" s="68"/>
      <c r="D157" s="71">
        <v>37501048660958</v>
      </c>
      <c r="E157" s="96" t="s">
        <v>362</v>
      </c>
      <c r="F157" s="70" t="e">
        <f>VLOOKUP(B157,REQUISICIÓN!$C$9:$E$125,3,0)</f>
        <v>#N/A</v>
      </c>
      <c r="G157" s="78" t="s">
        <v>9</v>
      </c>
      <c r="H157" s="55"/>
      <c r="I157" s="55"/>
      <c r="J157" s="14"/>
      <c r="K157" s="14">
        <v>257</v>
      </c>
      <c r="L157" s="14"/>
      <c r="M157" s="15"/>
      <c r="N157" s="15"/>
      <c r="O157" s="14"/>
      <c r="P157" s="15"/>
      <c r="Q157" s="15"/>
      <c r="R157" s="15"/>
      <c r="S157" s="15"/>
      <c r="T157" s="15"/>
      <c r="U157" s="15"/>
      <c r="V157" s="16">
        <f t="shared" si="3"/>
        <v>257</v>
      </c>
      <c r="W157" s="26" t="e">
        <f>VLOOKUP(B157,REQUISICIÓN!$C$9:$G$509,5,0)</f>
        <v>#N/A</v>
      </c>
      <c r="X157" s="76"/>
      <c r="Y157" s="85"/>
      <c r="Z157" s="86"/>
      <c r="AA157" s="76"/>
      <c r="AB157" s="87"/>
    </row>
    <row r="158" spans="2:28" hidden="1" x14ac:dyDescent="0.3">
      <c r="B158" s="2">
        <v>47</v>
      </c>
      <c r="C158" s="68"/>
      <c r="D158" s="71">
        <v>0</v>
      </c>
      <c r="E158" s="61" t="s">
        <v>364</v>
      </c>
      <c r="F158" s="70" t="e">
        <f>VLOOKUP(B158,REQUISICIÓN!$C$9:$E$125,3,0)</f>
        <v>#N/A</v>
      </c>
      <c r="G158" s="78" t="s">
        <v>9</v>
      </c>
      <c r="H158" s="55">
        <v>198</v>
      </c>
      <c r="I158" s="55"/>
      <c r="J158" s="15">
        <v>0</v>
      </c>
      <c r="K158" s="15"/>
      <c r="L158" s="15"/>
      <c r="M158" s="15">
        <v>0</v>
      </c>
      <c r="N158" s="15"/>
      <c r="O158" s="14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6">
        <f t="shared" si="3"/>
        <v>198</v>
      </c>
      <c r="W158" s="26" t="e">
        <f>VLOOKUP(B158,REQUISICIÓN!$C$9:$G$509,5,0)</f>
        <v>#N/A</v>
      </c>
      <c r="X158" s="25"/>
      <c r="Y158" s="25"/>
      <c r="Z158" s="25"/>
      <c r="AA158" s="25"/>
      <c r="AB158" s="75"/>
    </row>
    <row r="159" spans="2:28" x14ac:dyDescent="0.3">
      <c r="B159" s="81"/>
      <c r="C159" s="82"/>
      <c r="D159" s="71"/>
      <c r="E159" s="96" t="s">
        <v>365</v>
      </c>
      <c r="F159" s="70" t="e">
        <f>VLOOKUP(B159,REQUISICIÓN!$C$9:$E$125,3,0)</f>
        <v>#N/A</v>
      </c>
      <c r="G159" s="78"/>
      <c r="H159" s="55"/>
      <c r="I159" s="55"/>
      <c r="J159" s="15"/>
      <c r="K159" s="15">
        <v>185</v>
      </c>
      <c r="L159" s="15"/>
      <c r="M159" s="15"/>
      <c r="N159" s="15"/>
      <c r="O159" s="14"/>
      <c r="P159" s="15"/>
      <c r="Q159" s="15"/>
      <c r="R159" s="15"/>
      <c r="S159" s="15"/>
      <c r="T159" s="15"/>
      <c r="U159" s="15"/>
      <c r="V159" s="16">
        <f t="shared" si="3"/>
        <v>185</v>
      </c>
      <c r="W159" s="26" t="e">
        <f>VLOOKUP(B159,REQUISICIÓN!$C$9:$G$509,5,0)</f>
        <v>#N/A</v>
      </c>
      <c r="X159" s="25"/>
      <c r="Y159" s="25"/>
      <c r="Z159" s="25"/>
      <c r="AA159" s="25"/>
      <c r="AB159" s="75"/>
    </row>
    <row r="160" spans="2:28" hidden="1" x14ac:dyDescent="0.3">
      <c r="B160" s="81">
        <v>168</v>
      </c>
      <c r="C160" s="83">
        <v>4968420500097</v>
      </c>
      <c r="D160" s="71" t="s">
        <v>279</v>
      </c>
      <c r="E160" s="61" t="s">
        <v>195</v>
      </c>
      <c r="F160" s="70" t="e">
        <f>VLOOKUP(B160,REQUISICIÓN!$C$9:$E$125,3,0)</f>
        <v>#N/A</v>
      </c>
      <c r="G160" s="77" t="s">
        <v>11</v>
      </c>
      <c r="H160" s="55">
        <f>4.4*50</f>
        <v>220.00000000000003</v>
      </c>
      <c r="I160" s="55"/>
      <c r="J160" s="14">
        <v>270</v>
      </c>
      <c r="K160" s="14"/>
      <c r="L160" s="14"/>
      <c r="M160" s="15">
        <v>0</v>
      </c>
      <c r="N160" s="15">
        <v>227.08</v>
      </c>
      <c r="O160" s="23">
        <v>0</v>
      </c>
      <c r="P160" s="15">
        <v>0</v>
      </c>
      <c r="Q160" s="14">
        <v>0</v>
      </c>
      <c r="R160" s="15">
        <v>0</v>
      </c>
      <c r="S160" s="15">
        <v>0</v>
      </c>
      <c r="T160" s="15">
        <v>0</v>
      </c>
      <c r="U160" s="15">
        <v>0</v>
      </c>
      <c r="V160" s="16">
        <f t="shared" si="3"/>
        <v>220.00000000000003</v>
      </c>
      <c r="W160" s="26" t="e">
        <f>VLOOKUP(B160,REQUISICIÓN!$C$9:$G$509,5,0)</f>
        <v>#N/A</v>
      </c>
      <c r="X160" s="2"/>
      <c r="Y160" s="2"/>
      <c r="Z160" s="25"/>
      <c r="AA160" s="2"/>
      <c r="AB160" s="25"/>
    </row>
    <row r="161" spans="2:28" hidden="1" x14ac:dyDescent="0.3">
      <c r="B161" s="81">
        <v>33</v>
      </c>
      <c r="C161" s="82"/>
      <c r="D161" s="71">
        <v>990687</v>
      </c>
      <c r="E161" s="61" t="s">
        <v>250</v>
      </c>
      <c r="F161" s="70" t="e">
        <f>VLOOKUP(B161,REQUISICIÓN!$C$9:$E$125,3,0)</f>
        <v>#N/A</v>
      </c>
      <c r="G161" s="77" t="s">
        <v>11</v>
      </c>
      <c r="H161" s="55">
        <f>7.2*50</f>
        <v>360</v>
      </c>
      <c r="I161" s="55"/>
      <c r="J161" s="14">
        <v>0</v>
      </c>
      <c r="K161" s="14"/>
      <c r="L161" s="14"/>
      <c r="M161" s="15">
        <v>0</v>
      </c>
      <c r="N161" s="15"/>
      <c r="O161" s="23">
        <v>0</v>
      </c>
      <c r="P161" s="15">
        <v>0</v>
      </c>
      <c r="Q161" s="14">
        <v>0</v>
      </c>
      <c r="R161" s="15">
        <v>0</v>
      </c>
      <c r="S161" s="15">
        <v>0</v>
      </c>
      <c r="T161" s="15">
        <v>0</v>
      </c>
      <c r="U161" s="15">
        <v>0</v>
      </c>
      <c r="V161" s="16">
        <f t="shared" si="3"/>
        <v>360</v>
      </c>
      <c r="W161" s="26" t="e">
        <f>VLOOKUP(B161,REQUISICIÓN!$C$9:$G$509,5,0)</f>
        <v>#N/A</v>
      </c>
      <c r="X161" s="25"/>
      <c r="Y161" s="2"/>
      <c r="Z161" s="73"/>
      <c r="AA161" s="25"/>
      <c r="AB161" s="76"/>
    </row>
    <row r="162" spans="2:28" x14ac:dyDescent="0.3">
      <c r="B162" s="81">
        <v>233</v>
      </c>
      <c r="C162" s="82"/>
      <c r="D162" s="71"/>
      <c r="E162" s="96" t="s">
        <v>363</v>
      </c>
      <c r="F162" s="70" t="e">
        <f>VLOOKUP(B162,REQUISICIÓN!$C$9:$E$125,3,0)</f>
        <v>#N/A</v>
      </c>
      <c r="G162" s="77"/>
      <c r="H162" s="55"/>
      <c r="I162" s="55"/>
      <c r="J162" s="14"/>
      <c r="K162" s="14">
        <v>250</v>
      </c>
      <c r="L162" s="14"/>
      <c r="M162" s="15"/>
      <c r="N162" s="15"/>
      <c r="O162" s="23"/>
      <c r="P162" s="15"/>
      <c r="Q162" s="14"/>
      <c r="R162" s="15"/>
      <c r="S162" s="15"/>
      <c r="T162" s="15"/>
      <c r="U162" s="15"/>
      <c r="V162" s="16">
        <f t="shared" si="3"/>
        <v>250</v>
      </c>
      <c r="W162" s="26" t="e">
        <f>VLOOKUP(B162,REQUISICIÓN!$C$9:$G$509,5,0)</f>
        <v>#N/A</v>
      </c>
      <c r="X162" s="25"/>
      <c r="Y162" s="2"/>
      <c r="Z162" s="73"/>
      <c r="AA162" s="25"/>
      <c r="AB162" s="76"/>
    </row>
    <row r="163" spans="2:28" hidden="1" x14ac:dyDescent="0.3">
      <c r="B163" s="81">
        <v>128</v>
      </c>
      <c r="C163" s="82"/>
      <c r="D163" s="71">
        <v>0</v>
      </c>
      <c r="E163" s="61" t="s">
        <v>96</v>
      </c>
      <c r="F163" s="70" t="e">
        <f>VLOOKUP(B163,REQUISICIÓN!$C$9:$E$125,3,0)</f>
        <v>#N/A</v>
      </c>
      <c r="G163" s="78" t="s">
        <v>92</v>
      </c>
      <c r="H163" s="55">
        <f>39.9*40</f>
        <v>1596</v>
      </c>
      <c r="I163" s="55"/>
      <c r="J163" s="14">
        <v>0</v>
      </c>
      <c r="K163" s="14"/>
      <c r="L163" s="14"/>
      <c r="M163" s="15">
        <v>0</v>
      </c>
      <c r="N163" s="15"/>
      <c r="O163" s="23">
        <v>0</v>
      </c>
      <c r="P163" s="15">
        <v>0</v>
      </c>
      <c r="Q163" s="14">
        <v>0</v>
      </c>
      <c r="R163" s="15">
        <v>0</v>
      </c>
      <c r="S163" s="15">
        <v>0</v>
      </c>
      <c r="T163" s="15">
        <v>0</v>
      </c>
      <c r="U163" s="15">
        <v>0</v>
      </c>
      <c r="V163" s="16">
        <f t="shared" si="3"/>
        <v>1596</v>
      </c>
      <c r="W163" s="26" t="e">
        <f>VLOOKUP(B163,REQUISICIÓN!$C$9:$G$509,5,0)</f>
        <v>#N/A</v>
      </c>
      <c r="X163" s="25"/>
      <c r="Y163" s="2"/>
      <c r="Z163" s="73"/>
      <c r="AA163" s="25"/>
      <c r="AB163" s="25"/>
    </row>
    <row r="164" spans="2:28" hidden="1" x14ac:dyDescent="0.3">
      <c r="B164" s="81">
        <v>167</v>
      </c>
      <c r="C164" s="82"/>
      <c r="D164" s="71">
        <v>4968420500127</v>
      </c>
      <c r="E164" s="61" t="s">
        <v>197</v>
      </c>
      <c r="F164" s="70" t="e">
        <f>VLOOKUP(B164,REQUISICIÓN!$C$9:$E$125,3,0)</f>
        <v>#N/A</v>
      </c>
      <c r="G164" s="70" t="s">
        <v>151</v>
      </c>
      <c r="H164" s="55">
        <v>0</v>
      </c>
      <c r="I164" s="55"/>
      <c r="J164" s="14">
        <v>0</v>
      </c>
      <c r="K164" s="14"/>
      <c r="L164" s="14"/>
      <c r="M164" s="15">
        <v>0</v>
      </c>
      <c r="N164" s="15"/>
      <c r="O164" s="23">
        <v>0</v>
      </c>
      <c r="P164" s="15">
        <v>0</v>
      </c>
      <c r="Q164" s="14">
        <v>0</v>
      </c>
      <c r="R164" s="15">
        <v>0</v>
      </c>
      <c r="S164" s="15">
        <v>0</v>
      </c>
      <c r="T164" s="15">
        <v>0</v>
      </c>
      <c r="U164" s="15">
        <v>0</v>
      </c>
      <c r="V164" s="16" t="e">
        <f t="shared" si="3"/>
        <v>#NUM!</v>
      </c>
      <c r="W164" s="26" t="e">
        <f>VLOOKUP(B164,REQUISICIÓN!$C$9:$G$509,5,0)</f>
        <v>#N/A</v>
      </c>
      <c r="X164" s="2"/>
      <c r="Y164" s="2"/>
      <c r="Z164" s="25"/>
      <c r="AA164" s="2"/>
      <c r="AB164" s="25"/>
    </row>
    <row r="165" spans="2:28" x14ac:dyDescent="0.3">
      <c r="B165" s="81">
        <v>255</v>
      </c>
      <c r="C165" s="82"/>
      <c r="D165" s="71"/>
      <c r="E165" s="96" t="s">
        <v>390</v>
      </c>
      <c r="F165" s="70" t="e">
        <f>VLOOKUP(B165,REQUISICIÓN!$C$9:$E$125,3,0)</f>
        <v>#N/A</v>
      </c>
      <c r="G165" s="70" t="s">
        <v>151</v>
      </c>
      <c r="H165" s="55"/>
      <c r="I165" s="55"/>
      <c r="J165" s="14"/>
      <c r="K165" s="14">
        <v>495</v>
      </c>
      <c r="L165" s="14"/>
      <c r="M165" s="15"/>
      <c r="N165" s="15"/>
      <c r="O165" s="23"/>
      <c r="P165" s="15"/>
      <c r="Q165" s="14"/>
      <c r="R165" s="15"/>
      <c r="S165" s="15"/>
      <c r="T165" s="15"/>
      <c r="U165" s="15"/>
      <c r="V165" s="16">
        <f t="shared" si="3"/>
        <v>495</v>
      </c>
      <c r="W165" s="26" t="e">
        <f>VLOOKUP(B165,REQUISICIÓN!$C$9:$G$509,5,0)</f>
        <v>#N/A</v>
      </c>
      <c r="X165" s="2"/>
      <c r="Y165" s="2"/>
      <c r="Z165" s="25"/>
      <c r="AA165" s="2"/>
      <c r="AB165" s="75"/>
    </row>
    <row r="166" spans="2:28" hidden="1" x14ac:dyDescent="0.3">
      <c r="B166" s="2">
        <v>35</v>
      </c>
      <c r="C166" s="68"/>
      <c r="D166" s="71">
        <v>990175</v>
      </c>
      <c r="E166" s="61" t="s">
        <v>79</v>
      </c>
      <c r="F166" s="70" t="e">
        <f>VLOOKUP(B166,REQUISICIÓN!$C$9:$E$125,3,0)</f>
        <v>#N/A</v>
      </c>
      <c r="G166" s="70" t="s">
        <v>9</v>
      </c>
      <c r="H166" s="55">
        <f>2.7*100</f>
        <v>270</v>
      </c>
      <c r="I166" s="55"/>
      <c r="J166" s="14">
        <v>0</v>
      </c>
      <c r="K166" s="14"/>
      <c r="L166" s="14"/>
      <c r="M166" s="15">
        <v>0</v>
      </c>
      <c r="N166" s="15"/>
      <c r="O166" s="23">
        <v>0</v>
      </c>
      <c r="P166" s="15">
        <v>0</v>
      </c>
      <c r="Q166" s="14">
        <v>0</v>
      </c>
      <c r="R166" s="15">
        <v>0</v>
      </c>
      <c r="S166" s="15">
        <v>0</v>
      </c>
      <c r="T166" s="15">
        <v>0</v>
      </c>
      <c r="U166" s="15">
        <v>0</v>
      </c>
      <c r="V166" s="16">
        <f t="shared" si="3"/>
        <v>270</v>
      </c>
      <c r="W166" s="26" t="e">
        <f>VLOOKUP(B166,REQUISICIÓN!$C$9:$G$509,5,0)</f>
        <v>#N/A</v>
      </c>
      <c r="X166" s="25"/>
      <c r="Y166" s="2"/>
      <c r="Z166" s="73"/>
      <c r="AA166" s="25"/>
      <c r="AB166" s="75"/>
    </row>
    <row r="167" spans="2:28" hidden="1" x14ac:dyDescent="0.3">
      <c r="B167" s="81">
        <v>195</v>
      </c>
      <c r="C167" s="68"/>
      <c r="D167" s="71" t="s">
        <v>281</v>
      </c>
      <c r="E167" s="61" t="s">
        <v>196</v>
      </c>
      <c r="F167" s="70" t="e">
        <f>VLOOKUP(B167,REQUISICIÓN!$C$9:$E$125,3,0)</f>
        <v>#N/A</v>
      </c>
      <c r="G167" s="70" t="s">
        <v>9</v>
      </c>
      <c r="H167" s="55">
        <v>0</v>
      </c>
      <c r="I167" s="55"/>
      <c r="J167" s="14">
        <v>250</v>
      </c>
      <c r="K167" s="14"/>
      <c r="L167" s="14"/>
      <c r="M167" s="15">
        <v>0</v>
      </c>
      <c r="N167" s="15">
        <v>212.35</v>
      </c>
      <c r="O167" s="23">
        <v>0</v>
      </c>
      <c r="P167" s="15">
        <v>0</v>
      </c>
      <c r="Q167" s="14">
        <v>0</v>
      </c>
      <c r="R167" s="15">
        <v>0</v>
      </c>
      <c r="S167" s="15">
        <v>0</v>
      </c>
      <c r="T167" s="15">
        <v>0</v>
      </c>
      <c r="U167" s="15">
        <v>0</v>
      </c>
      <c r="V167" s="16">
        <f t="shared" si="3"/>
        <v>212.35</v>
      </c>
      <c r="W167" s="26" t="e">
        <f>VLOOKUP(B167,REQUISICIÓN!$C$9:$G$509,5,0)</f>
        <v>#N/A</v>
      </c>
      <c r="X167" s="2"/>
      <c r="Y167" s="2"/>
      <c r="Z167" s="25"/>
      <c r="AA167" s="2"/>
      <c r="AB167" s="25"/>
    </row>
    <row r="168" spans="2:28" x14ac:dyDescent="0.3">
      <c r="B168" s="81">
        <v>207</v>
      </c>
      <c r="C168" s="68"/>
      <c r="D168" s="71">
        <v>7501048660551</v>
      </c>
      <c r="E168" s="96" t="s">
        <v>274</v>
      </c>
      <c r="F168" s="70" t="e">
        <f>VLOOKUP(B168,REQUISICIÓN!$C$9:$E$125,3,0)</f>
        <v>#N/A</v>
      </c>
      <c r="G168" s="70" t="s">
        <v>9</v>
      </c>
      <c r="H168" s="55">
        <f>2.55*100</f>
        <v>254.99999999999997</v>
      </c>
      <c r="I168" s="55"/>
      <c r="J168" s="14">
        <v>0</v>
      </c>
      <c r="K168" s="14">
        <v>210</v>
      </c>
      <c r="L168" s="14"/>
      <c r="M168" s="15">
        <v>0</v>
      </c>
      <c r="N168" s="15">
        <v>212.35</v>
      </c>
      <c r="O168" s="23">
        <v>0</v>
      </c>
      <c r="P168" s="15">
        <v>0</v>
      </c>
      <c r="Q168" s="14">
        <v>0</v>
      </c>
      <c r="R168" s="15">
        <v>0</v>
      </c>
      <c r="S168" s="15">
        <v>0</v>
      </c>
      <c r="T168" s="15">
        <v>0</v>
      </c>
      <c r="U168" s="15">
        <v>0</v>
      </c>
      <c r="V168" s="16">
        <f t="shared" si="3"/>
        <v>210</v>
      </c>
      <c r="W168" s="26" t="e">
        <f>VLOOKUP(B168,REQUISICIÓN!$C$9:$G$509,5,0)</f>
        <v>#N/A</v>
      </c>
      <c r="X168" s="2"/>
      <c r="Y168" s="2"/>
      <c r="Z168" s="25"/>
      <c r="AA168" s="2"/>
      <c r="AB168" s="25"/>
    </row>
    <row r="169" spans="2:28" hidden="1" x14ac:dyDescent="0.3">
      <c r="B169" s="2">
        <v>194</v>
      </c>
      <c r="C169" s="68"/>
      <c r="D169" s="71" t="s">
        <v>282</v>
      </c>
      <c r="E169" s="61" t="s">
        <v>273</v>
      </c>
      <c r="F169" s="70" t="e">
        <f>VLOOKUP(B169,REQUISICIÓN!$C$9:$E$125,3,0)</f>
        <v>#N/A</v>
      </c>
      <c r="G169" s="70" t="s">
        <v>9</v>
      </c>
      <c r="H169" s="55">
        <v>0</v>
      </c>
      <c r="I169" s="55"/>
      <c r="J169" s="14">
        <v>305</v>
      </c>
      <c r="K169" s="14"/>
      <c r="L169" s="14"/>
      <c r="M169" s="15">
        <v>0</v>
      </c>
      <c r="N169" s="15">
        <v>308.45</v>
      </c>
      <c r="O169" s="23">
        <v>0</v>
      </c>
      <c r="P169" s="15">
        <v>0</v>
      </c>
      <c r="Q169" s="14">
        <v>0</v>
      </c>
      <c r="R169" s="15">
        <v>0</v>
      </c>
      <c r="S169" s="15">
        <v>0</v>
      </c>
      <c r="T169" s="15">
        <v>0</v>
      </c>
      <c r="U169" s="15">
        <v>0</v>
      </c>
      <c r="V169" s="16">
        <f t="shared" si="3"/>
        <v>305</v>
      </c>
      <c r="W169" s="26" t="e">
        <f>VLOOKUP(B169,REQUISICIÓN!$C$9:$G$509,5,0)</f>
        <v>#N/A</v>
      </c>
      <c r="X169" s="2"/>
      <c r="Y169" s="2"/>
      <c r="Z169" s="25"/>
      <c r="AA169" s="2"/>
      <c r="AB169" s="25"/>
    </row>
    <row r="170" spans="2:28" hidden="1" x14ac:dyDescent="0.3">
      <c r="B170" s="2">
        <v>34</v>
      </c>
      <c r="C170" s="68"/>
      <c r="D170" s="71">
        <v>990172</v>
      </c>
      <c r="E170" s="61" t="s">
        <v>251</v>
      </c>
      <c r="F170" s="70" t="e">
        <f>VLOOKUP(B170,REQUISICIÓN!$C$9:$E$125,3,0)</f>
        <v>#N/A</v>
      </c>
      <c r="G170" s="70" t="s">
        <v>9</v>
      </c>
      <c r="H170" s="55">
        <f>3.8*100</f>
        <v>380</v>
      </c>
      <c r="I170" s="55"/>
      <c r="J170" s="14">
        <v>0</v>
      </c>
      <c r="K170" s="14"/>
      <c r="L170" s="14"/>
      <c r="M170" s="15">
        <v>0</v>
      </c>
      <c r="N170" s="15">
        <v>0</v>
      </c>
      <c r="O170" s="23">
        <v>0</v>
      </c>
      <c r="P170" s="15">
        <v>0</v>
      </c>
      <c r="Q170" s="14">
        <v>0</v>
      </c>
      <c r="R170" s="15">
        <v>0</v>
      </c>
      <c r="S170" s="15">
        <v>0</v>
      </c>
      <c r="T170" s="15">
        <v>0</v>
      </c>
      <c r="U170" s="15">
        <v>0</v>
      </c>
      <c r="V170" s="16">
        <f t="shared" si="3"/>
        <v>380</v>
      </c>
      <c r="W170" s="26" t="e">
        <f>VLOOKUP(B170,REQUISICIÓN!$C$9:$G$509,5,0)</f>
        <v>#N/A</v>
      </c>
      <c r="X170" s="25"/>
      <c r="Y170" s="2"/>
      <c r="Z170" s="73"/>
      <c r="AA170" s="74"/>
      <c r="AB170" s="76"/>
    </row>
    <row r="171" spans="2:28" hidden="1" x14ac:dyDescent="0.3">
      <c r="B171" s="2">
        <v>208</v>
      </c>
      <c r="C171" s="68"/>
      <c r="D171" s="71" t="s">
        <v>280</v>
      </c>
      <c r="E171" s="61" t="s">
        <v>275</v>
      </c>
      <c r="F171" s="70" t="e">
        <f>VLOOKUP(B171,REQUISICIÓN!$C$9:$E$125,3,0)</f>
        <v>#N/A</v>
      </c>
      <c r="G171" s="70" t="s">
        <v>9</v>
      </c>
      <c r="H171" s="55">
        <f>2.88*100</f>
        <v>288</v>
      </c>
      <c r="I171" s="55"/>
      <c r="J171" s="14">
        <v>0</v>
      </c>
      <c r="K171" s="14"/>
      <c r="L171" s="14"/>
      <c r="M171" s="15">
        <v>0</v>
      </c>
      <c r="N171" s="15">
        <v>308.45</v>
      </c>
      <c r="O171" s="23">
        <v>0</v>
      </c>
      <c r="P171" s="15">
        <v>0</v>
      </c>
      <c r="Q171" s="14">
        <v>0</v>
      </c>
      <c r="R171" s="15">
        <v>0</v>
      </c>
      <c r="S171" s="15">
        <v>0</v>
      </c>
      <c r="T171" s="15">
        <v>0</v>
      </c>
      <c r="U171" s="15">
        <v>0</v>
      </c>
      <c r="V171" s="16">
        <f t="shared" si="3"/>
        <v>288</v>
      </c>
      <c r="W171" s="26" t="e">
        <f>VLOOKUP(B171,REQUISICIÓN!$C$9:$G$509,5,0)</f>
        <v>#N/A</v>
      </c>
      <c r="X171" s="25"/>
      <c r="Y171" s="2"/>
      <c r="Z171" s="73"/>
      <c r="AA171" s="74"/>
      <c r="AB171" s="87"/>
    </row>
    <row r="172" spans="2:28" hidden="1" x14ac:dyDescent="0.3">
      <c r="B172" s="2">
        <v>124</v>
      </c>
      <c r="C172" s="68"/>
      <c r="D172" s="71">
        <v>0</v>
      </c>
      <c r="E172" s="61" t="s">
        <v>86</v>
      </c>
      <c r="F172" s="70" t="e">
        <f>VLOOKUP(B172,REQUISICIÓN!$C$9:$E$125,3,0)</f>
        <v>#N/A</v>
      </c>
      <c r="G172" s="70" t="s">
        <v>4</v>
      </c>
      <c r="H172" s="14">
        <v>130</v>
      </c>
      <c r="I172" s="14"/>
      <c r="J172" s="14">
        <v>45</v>
      </c>
      <c r="K172" s="14"/>
      <c r="L172" s="14"/>
      <c r="M172" s="15">
        <v>0</v>
      </c>
      <c r="N172" s="15"/>
      <c r="O172" s="23">
        <v>0</v>
      </c>
      <c r="P172" s="15">
        <v>0</v>
      </c>
      <c r="Q172" s="14">
        <v>0</v>
      </c>
      <c r="R172" s="15">
        <v>0</v>
      </c>
      <c r="S172" s="15">
        <v>0</v>
      </c>
      <c r="T172" s="15">
        <v>0</v>
      </c>
      <c r="U172" s="15">
        <v>0</v>
      </c>
      <c r="V172" s="16">
        <f t="shared" si="3"/>
        <v>45</v>
      </c>
      <c r="W172" s="26" t="e">
        <f>VLOOKUP(B172,REQUISICIÓN!$C$9:$G$509,5,0)</f>
        <v>#N/A</v>
      </c>
      <c r="X172" s="25"/>
      <c r="Y172" s="2"/>
      <c r="Z172" s="73"/>
      <c r="AA172" s="74"/>
      <c r="AB172" s="75"/>
    </row>
    <row r="173" spans="2:28" s="158" customFormat="1" hidden="1" x14ac:dyDescent="0.3">
      <c r="B173" s="150">
        <v>114</v>
      </c>
      <c r="C173" s="151"/>
      <c r="D173" s="152" t="s">
        <v>93</v>
      </c>
      <c r="E173" s="153" t="s">
        <v>54</v>
      </c>
      <c r="F173" s="154" t="e">
        <f>VLOOKUP(B173,REQUISICIÓN!$C$9:$E$125,3,0)</f>
        <v>#N/A</v>
      </c>
      <c r="G173" s="155" t="s">
        <v>4</v>
      </c>
      <c r="H173" s="14">
        <v>0</v>
      </c>
      <c r="I173" s="14"/>
      <c r="J173" s="14">
        <v>250</v>
      </c>
      <c r="K173" s="14"/>
      <c r="L173" s="14"/>
      <c r="M173" s="15">
        <v>0</v>
      </c>
      <c r="N173" s="15">
        <v>0</v>
      </c>
      <c r="O173" s="23">
        <v>0</v>
      </c>
      <c r="P173" s="15">
        <v>0</v>
      </c>
      <c r="Q173" s="14">
        <v>0</v>
      </c>
      <c r="R173" s="15">
        <v>174.86</v>
      </c>
      <c r="S173" s="15">
        <v>0</v>
      </c>
      <c r="T173" s="15">
        <v>0</v>
      </c>
      <c r="U173" s="15">
        <v>0</v>
      </c>
      <c r="V173" s="16">
        <f t="shared" si="3"/>
        <v>174.86</v>
      </c>
      <c r="W173" s="26" t="e">
        <f>VLOOKUP(B173,REQUISICIÓN!$C$9:$G$509,5,0)</f>
        <v>#N/A</v>
      </c>
      <c r="X173" s="156"/>
      <c r="Y173" s="150"/>
      <c r="Z173" s="157"/>
      <c r="AA173" s="150"/>
      <c r="AB173" s="156"/>
    </row>
    <row r="174" spans="2:28" hidden="1" x14ac:dyDescent="0.3">
      <c r="B174" s="2">
        <v>115</v>
      </c>
      <c r="C174" s="68"/>
      <c r="D174" s="71" t="s">
        <v>94</v>
      </c>
      <c r="E174" s="61" t="s">
        <v>55</v>
      </c>
      <c r="F174" s="70" t="e">
        <f>VLOOKUP(B174,REQUISICIÓN!$C$9:$E$125,3,0)</f>
        <v>#N/A</v>
      </c>
      <c r="G174" s="70" t="s">
        <v>4</v>
      </c>
      <c r="H174" s="14">
        <v>0</v>
      </c>
      <c r="I174" s="14"/>
      <c r="J174" s="14">
        <v>0</v>
      </c>
      <c r="K174" s="14"/>
      <c r="L174" s="14"/>
      <c r="M174" s="15">
        <v>0</v>
      </c>
      <c r="N174" s="15"/>
      <c r="O174" s="23">
        <v>0</v>
      </c>
      <c r="P174" s="15">
        <v>0</v>
      </c>
      <c r="Q174" s="14">
        <v>0</v>
      </c>
      <c r="R174" s="15">
        <v>224.27</v>
      </c>
      <c r="S174" s="15">
        <v>0</v>
      </c>
      <c r="T174" s="15">
        <v>0</v>
      </c>
      <c r="U174" s="15">
        <v>0</v>
      </c>
      <c r="V174" s="16">
        <f t="shared" si="3"/>
        <v>224.27</v>
      </c>
      <c r="W174" s="26" t="e">
        <f>VLOOKUP(B174,REQUISICIÓN!$C$9:$G$509,5,0)</f>
        <v>#N/A</v>
      </c>
      <c r="X174" s="25"/>
      <c r="Y174" s="2"/>
      <c r="Z174" s="73"/>
      <c r="AA174" s="2"/>
      <c r="AB174" s="76"/>
    </row>
    <row r="175" spans="2:28" hidden="1" x14ac:dyDescent="0.3">
      <c r="B175" s="2">
        <v>116</v>
      </c>
      <c r="C175" s="68"/>
      <c r="D175" s="71">
        <v>0</v>
      </c>
      <c r="E175" s="61" t="s">
        <v>56</v>
      </c>
      <c r="F175" s="70" t="e">
        <f>VLOOKUP(B175,REQUISICIÓN!$C$9:$E$125,3,0)</f>
        <v>#N/A</v>
      </c>
      <c r="G175" s="70" t="s">
        <v>4</v>
      </c>
      <c r="H175" s="14">
        <v>18.899999999999999</v>
      </c>
      <c r="I175" s="14"/>
      <c r="J175" s="14">
        <v>30</v>
      </c>
      <c r="K175" s="14"/>
      <c r="L175" s="14"/>
      <c r="M175" s="15">
        <v>0</v>
      </c>
      <c r="N175" s="15"/>
      <c r="O175" s="23">
        <v>0</v>
      </c>
      <c r="P175" s="15">
        <v>0</v>
      </c>
      <c r="Q175" s="14">
        <v>0</v>
      </c>
      <c r="R175" s="15">
        <v>0</v>
      </c>
      <c r="S175" s="15">
        <v>0</v>
      </c>
      <c r="T175" s="15">
        <v>0</v>
      </c>
      <c r="U175" s="15">
        <v>0</v>
      </c>
      <c r="V175" s="16">
        <f t="shared" si="3"/>
        <v>18.899999999999999</v>
      </c>
      <c r="W175" s="26" t="e">
        <f>VLOOKUP(B175,REQUISICIÓN!$C$9:$G$509,5,0)</f>
        <v>#N/A</v>
      </c>
      <c r="X175" s="25"/>
      <c r="Y175" s="2"/>
      <c r="Z175" s="73"/>
      <c r="AA175" s="74"/>
      <c r="AB175" s="25"/>
    </row>
    <row r="176" spans="2:28" hidden="1" x14ac:dyDescent="0.3">
      <c r="B176" s="81">
        <v>196</v>
      </c>
      <c r="C176" s="82"/>
      <c r="D176" s="71">
        <v>0</v>
      </c>
      <c r="E176" s="61" t="s">
        <v>198</v>
      </c>
      <c r="F176" s="70" t="e">
        <f>VLOOKUP(B176,REQUISICIÓN!$C$9:$E$125,3,0)</f>
        <v>#N/A</v>
      </c>
      <c r="G176" s="78" t="s">
        <v>4</v>
      </c>
      <c r="H176" s="14">
        <v>0</v>
      </c>
      <c r="I176" s="14"/>
      <c r="J176" s="14">
        <v>0</v>
      </c>
      <c r="K176" s="14"/>
      <c r="L176" s="14"/>
      <c r="M176" s="15">
        <v>0</v>
      </c>
      <c r="N176" s="15"/>
      <c r="O176" s="23">
        <v>0</v>
      </c>
      <c r="P176" s="15">
        <v>0</v>
      </c>
      <c r="Q176" s="14">
        <v>0</v>
      </c>
      <c r="R176" s="15">
        <v>0</v>
      </c>
      <c r="S176" s="15">
        <v>0</v>
      </c>
      <c r="T176" s="15">
        <v>0</v>
      </c>
      <c r="U176" s="15">
        <v>0</v>
      </c>
      <c r="V176" s="16" t="e">
        <f t="shared" si="3"/>
        <v>#NUM!</v>
      </c>
      <c r="W176" s="26" t="e">
        <f>VLOOKUP(B176,REQUISICIÓN!$C$9:$G$509,5,0)</f>
        <v>#N/A</v>
      </c>
      <c r="X176" s="2"/>
      <c r="Y176" s="2"/>
      <c r="Z176" s="25"/>
      <c r="AA176" s="2"/>
      <c r="AB176" s="25"/>
    </row>
    <row r="177" spans="2:28" hidden="1" x14ac:dyDescent="0.3">
      <c r="B177" s="81">
        <v>161</v>
      </c>
      <c r="C177" s="82"/>
      <c r="D177" s="71">
        <v>7501626700242</v>
      </c>
      <c r="E177" s="61" t="s">
        <v>199</v>
      </c>
      <c r="F177" s="70" t="e">
        <f>VLOOKUP(B177,REQUISICIÓN!$C$9:$E$125,3,0)</f>
        <v>#N/A</v>
      </c>
      <c r="G177" s="78" t="s">
        <v>4</v>
      </c>
      <c r="H177" s="14">
        <v>0</v>
      </c>
      <c r="I177" s="14"/>
      <c r="J177" s="14">
        <v>0</v>
      </c>
      <c r="K177" s="14"/>
      <c r="L177" s="14"/>
      <c r="M177" s="15">
        <v>0</v>
      </c>
      <c r="N177" s="15"/>
      <c r="O177" s="23">
        <v>0</v>
      </c>
      <c r="P177" s="15">
        <v>0</v>
      </c>
      <c r="Q177" s="14">
        <v>0</v>
      </c>
      <c r="R177" s="15">
        <v>0</v>
      </c>
      <c r="S177" s="15">
        <v>0</v>
      </c>
      <c r="T177" s="15">
        <v>0</v>
      </c>
      <c r="U177" s="15">
        <v>0</v>
      </c>
      <c r="V177" s="16" t="e">
        <f t="shared" si="3"/>
        <v>#NUM!</v>
      </c>
      <c r="W177" s="26" t="e">
        <f>VLOOKUP(B177,REQUISICIÓN!$C$9:$G$509,5,0)</f>
        <v>#N/A</v>
      </c>
      <c r="X177" s="2"/>
      <c r="Y177" s="2"/>
      <c r="Z177" s="25"/>
      <c r="AA177" s="2"/>
      <c r="AB177" s="25"/>
    </row>
    <row r="178" spans="2:28" x14ac:dyDescent="0.3">
      <c r="B178" s="2">
        <v>110</v>
      </c>
      <c r="C178" s="71">
        <v>7501626700259</v>
      </c>
      <c r="D178" s="71" t="s">
        <v>48</v>
      </c>
      <c r="E178" s="96" t="s">
        <v>47</v>
      </c>
      <c r="F178" s="70" t="e">
        <f>VLOOKUP(B178,REQUISICIÓN!$C$9:$E$125,3,0)</f>
        <v>#N/A</v>
      </c>
      <c r="G178" s="70" t="s">
        <v>4</v>
      </c>
      <c r="H178" s="14">
        <v>57</v>
      </c>
      <c r="I178" s="14"/>
      <c r="J178" s="14">
        <v>80</v>
      </c>
      <c r="K178" s="14">
        <v>72</v>
      </c>
      <c r="L178" s="14"/>
      <c r="M178" s="15">
        <v>0</v>
      </c>
      <c r="N178" s="15"/>
      <c r="O178" s="23">
        <v>0</v>
      </c>
      <c r="P178" s="15">
        <v>0</v>
      </c>
      <c r="Q178" s="14">
        <v>0</v>
      </c>
      <c r="R178" s="15">
        <v>0</v>
      </c>
      <c r="S178" s="15">
        <v>0</v>
      </c>
      <c r="T178" s="15">
        <v>0</v>
      </c>
      <c r="U178" s="15">
        <v>0</v>
      </c>
      <c r="V178" s="16">
        <f t="shared" si="3"/>
        <v>57</v>
      </c>
      <c r="W178" s="26" t="e">
        <f>VLOOKUP(B178,REQUISICIÓN!$C$9:$G$509,5,0)</f>
        <v>#N/A</v>
      </c>
      <c r="X178" s="25"/>
      <c r="Y178" s="25"/>
      <c r="Z178" s="25"/>
      <c r="AA178" s="25"/>
      <c r="AB178" s="25"/>
    </row>
    <row r="179" spans="2:28" hidden="1" x14ac:dyDescent="0.3">
      <c r="B179" s="2">
        <v>11</v>
      </c>
      <c r="C179" s="68"/>
      <c r="D179" s="71">
        <v>180226</v>
      </c>
      <c r="E179" s="61" t="s">
        <v>304</v>
      </c>
      <c r="F179" s="70" t="e">
        <f>VLOOKUP(B179,REQUISICIÓN!$C$9:$E$125,3,0)</f>
        <v>#N/A</v>
      </c>
      <c r="G179" s="70" t="s">
        <v>4</v>
      </c>
      <c r="H179" s="14">
        <v>0</v>
      </c>
      <c r="I179" s="14"/>
      <c r="J179" s="14">
        <v>418</v>
      </c>
      <c r="K179" s="14"/>
      <c r="L179" s="14"/>
      <c r="M179" s="15">
        <v>0</v>
      </c>
      <c r="N179" s="15"/>
      <c r="O179" s="23">
        <v>0</v>
      </c>
      <c r="P179" s="15">
        <v>0</v>
      </c>
      <c r="Q179" s="14">
        <v>0</v>
      </c>
      <c r="R179" s="15">
        <v>0</v>
      </c>
      <c r="S179" s="15">
        <v>0</v>
      </c>
      <c r="T179" s="15">
        <v>0</v>
      </c>
      <c r="U179" s="15">
        <v>0</v>
      </c>
      <c r="V179" s="16">
        <f t="shared" si="3"/>
        <v>418</v>
      </c>
      <c r="W179" s="26" t="e">
        <f>VLOOKUP(B179,REQUISICIÓN!$C$9:$G$509,5,0)</f>
        <v>#N/A</v>
      </c>
      <c r="X179" s="25"/>
      <c r="Y179" s="2"/>
      <c r="Z179" s="73"/>
      <c r="AA179" s="25"/>
      <c r="AB179" s="25"/>
    </row>
    <row r="180" spans="2:28" x14ac:dyDescent="0.3">
      <c r="B180" s="2">
        <v>162</v>
      </c>
      <c r="C180" s="68"/>
      <c r="D180" s="71">
        <v>0</v>
      </c>
      <c r="E180" s="96" t="s">
        <v>6</v>
      </c>
      <c r="F180" s="70" t="e">
        <f>VLOOKUP(B180,REQUISICIÓN!$C$9:$E$125,3,0)</f>
        <v>#N/A</v>
      </c>
      <c r="G180" s="70" t="s">
        <v>4</v>
      </c>
      <c r="H180" s="14">
        <v>0</v>
      </c>
      <c r="I180" s="14"/>
      <c r="J180" s="14">
        <v>0</v>
      </c>
      <c r="K180" s="14">
        <v>698</v>
      </c>
      <c r="L180" s="14"/>
      <c r="M180" s="15">
        <v>0</v>
      </c>
      <c r="N180" s="15"/>
      <c r="O180" s="23">
        <v>0</v>
      </c>
      <c r="P180" s="15">
        <v>0</v>
      </c>
      <c r="Q180" s="14">
        <v>0</v>
      </c>
      <c r="R180" s="15">
        <v>0</v>
      </c>
      <c r="S180" s="15">
        <v>0</v>
      </c>
      <c r="T180" s="15">
        <v>0</v>
      </c>
      <c r="U180" s="15">
        <v>0</v>
      </c>
      <c r="V180" s="16">
        <f t="shared" si="3"/>
        <v>698</v>
      </c>
      <c r="W180" s="26" t="e">
        <f>VLOOKUP(B180,REQUISICIÓN!$C$9:$G$509,5,0)</f>
        <v>#N/A</v>
      </c>
      <c r="X180" s="2"/>
      <c r="Y180" s="2"/>
      <c r="Z180" s="25"/>
      <c r="AA180" s="2"/>
      <c r="AB180" s="25"/>
    </row>
    <row r="181" spans="2:28" x14ac:dyDescent="0.3">
      <c r="B181" s="2">
        <v>12</v>
      </c>
      <c r="C181" s="68"/>
      <c r="D181" s="71">
        <v>0</v>
      </c>
      <c r="E181" s="96" t="s">
        <v>7</v>
      </c>
      <c r="F181" s="70" t="e">
        <f>VLOOKUP(B181,REQUISICIÓN!$C$9:$E$125,3,0)</f>
        <v>#N/A</v>
      </c>
      <c r="G181" s="70" t="s">
        <v>4</v>
      </c>
      <c r="H181" s="14">
        <v>253.5</v>
      </c>
      <c r="I181" s="14"/>
      <c r="J181" s="14">
        <v>295</v>
      </c>
      <c r="K181" s="14">
        <v>698</v>
      </c>
      <c r="L181" s="14"/>
      <c r="M181" s="15">
        <v>0</v>
      </c>
      <c r="N181" s="15"/>
      <c r="O181" s="23">
        <v>0</v>
      </c>
      <c r="P181" s="15">
        <v>0</v>
      </c>
      <c r="Q181" s="14">
        <v>0</v>
      </c>
      <c r="R181" s="15">
        <v>0</v>
      </c>
      <c r="S181" s="15">
        <v>0</v>
      </c>
      <c r="T181" s="15">
        <v>0</v>
      </c>
      <c r="U181" s="15">
        <v>0</v>
      </c>
      <c r="V181" s="16">
        <f t="shared" si="3"/>
        <v>253.5</v>
      </c>
      <c r="W181" s="26" t="e">
        <f>VLOOKUP(B181,REQUISICIÓN!$C$9:$G$509,5,0)</f>
        <v>#N/A</v>
      </c>
      <c r="X181" s="25"/>
      <c r="Y181" s="2"/>
      <c r="Z181" s="73"/>
      <c r="AA181" s="25"/>
      <c r="AB181" s="25"/>
    </row>
    <row r="182" spans="2:28" hidden="1" x14ac:dyDescent="0.3">
      <c r="B182" s="2">
        <v>163</v>
      </c>
      <c r="C182" s="68"/>
      <c r="D182" s="71" t="s">
        <v>200</v>
      </c>
      <c r="E182" s="61" t="s">
        <v>201</v>
      </c>
      <c r="F182" s="70" t="e">
        <f>VLOOKUP(B182,REQUISICIÓN!$C$9:$E$125,3,0)</f>
        <v>#N/A</v>
      </c>
      <c r="G182" s="70" t="s">
        <v>4</v>
      </c>
      <c r="H182" s="14">
        <v>0</v>
      </c>
      <c r="I182" s="14"/>
      <c r="J182" s="14">
        <v>0</v>
      </c>
      <c r="K182" s="14"/>
      <c r="L182" s="14"/>
      <c r="M182" s="15">
        <v>0</v>
      </c>
      <c r="N182" s="15"/>
      <c r="O182" s="23">
        <v>0</v>
      </c>
      <c r="P182" s="15">
        <v>0</v>
      </c>
      <c r="Q182" s="14">
        <v>0</v>
      </c>
      <c r="R182" s="15">
        <v>0</v>
      </c>
      <c r="S182" s="15">
        <v>0</v>
      </c>
      <c r="T182" s="15">
        <v>0</v>
      </c>
      <c r="U182" s="15">
        <v>0</v>
      </c>
      <c r="V182" s="16" t="e">
        <f t="shared" si="3"/>
        <v>#NUM!</v>
      </c>
      <c r="W182" s="26" t="e">
        <f>VLOOKUP(B182,REQUISICIÓN!$C$9:$G$509,5,0)</f>
        <v>#N/A</v>
      </c>
      <c r="X182" s="2"/>
      <c r="Y182" s="2"/>
      <c r="Z182" s="25"/>
      <c r="AA182" s="2"/>
      <c r="AB182" s="25"/>
    </row>
    <row r="183" spans="2:28" hidden="1" x14ac:dyDescent="0.3">
      <c r="B183" s="2">
        <v>43</v>
      </c>
      <c r="C183" s="68"/>
      <c r="D183" s="71" t="s">
        <v>135</v>
      </c>
      <c r="E183" s="61" t="s">
        <v>136</v>
      </c>
      <c r="F183" s="70" t="e">
        <f>VLOOKUP(B183,REQUISICIÓN!$C$9:$E$125,3,0)</f>
        <v>#N/A</v>
      </c>
      <c r="G183" s="70" t="s">
        <v>4</v>
      </c>
      <c r="H183" s="14">
        <v>43</v>
      </c>
      <c r="I183" s="14"/>
      <c r="J183" s="14">
        <v>33</v>
      </c>
      <c r="K183" s="14"/>
      <c r="L183" s="14"/>
      <c r="M183" s="15">
        <v>0</v>
      </c>
      <c r="N183" s="15"/>
      <c r="O183" s="23">
        <v>0</v>
      </c>
      <c r="P183" s="15">
        <v>0</v>
      </c>
      <c r="Q183" s="14">
        <v>0</v>
      </c>
      <c r="R183" s="15">
        <v>0</v>
      </c>
      <c r="S183" s="15">
        <v>0</v>
      </c>
      <c r="T183" s="15">
        <v>0</v>
      </c>
      <c r="U183" s="15">
        <v>0</v>
      </c>
      <c r="V183" s="16">
        <f t="shared" si="3"/>
        <v>33</v>
      </c>
      <c r="W183" s="26" t="e">
        <f>VLOOKUP(B183,REQUISICIÓN!$C$9:$G$509,5,0)</f>
        <v>#N/A</v>
      </c>
      <c r="X183" s="25"/>
      <c r="Y183" s="2"/>
      <c r="Z183" s="73"/>
      <c r="AA183" s="25"/>
      <c r="AB183" s="25"/>
    </row>
    <row r="184" spans="2:28" hidden="1" x14ac:dyDescent="0.3">
      <c r="B184" s="2">
        <v>44</v>
      </c>
      <c r="C184" s="68"/>
      <c r="D184" s="71" t="s">
        <v>138</v>
      </c>
      <c r="E184" s="61" t="s">
        <v>137</v>
      </c>
      <c r="F184" s="70" t="e">
        <f>VLOOKUP(B184,REQUISICIÓN!$C$9:$E$125,3,0)</f>
        <v>#N/A</v>
      </c>
      <c r="G184" s="70" t="s">
        <v>4</v>
      </c>
      <c r="H184" s="14">
        <v>46.6</v>
      </c>
      <c r="I184" s="14"/>
      <c r="J184" s="14">
        <v>50</v>
      </c>
      <c r="K184" s="14"/>
      <c r="L184" s="14"/>
      <c r="M184" s="15">
        <v>0</v>
      </c>
      <c r="N184" s="15"/>
      <c r="O184" s="23">
        <v>0</v>
      </c>
      <c r="P184" s="15">
        <v>0</v>
      </c>
      <c r="Q184" s="14">
        <v>0</v>
      </c>
      <c r="R184" s="15">
        <v>0</v>
      </c>
      <c r="S184" s="15">
        <v>0</v>
      </c>
      <c r="T184" s="15">
        <v>0</v>
      </c>
      <c r="U184" s="15">
        <v>0</v>
      </c>
      <c r="V184" s="16">
        <f t="shared" si="3"/>
        <v>46.6</v>
      </c>
      <c r="W184" s="26" t="e">
        <f>VLOOKUP(B184,REQUISICIÓN!$C$9:$G$509,5,0)</f>
        <v>#N/A</v>
      </c>
      <c r="X184" s="25"/>
      <c r="Y184" s="25"/>
      <c r="Z184" s="25"/>
      <c r="AA184" s="25"/>
    </row>
    <row r="185" spans="2:28" x14ac:dyDescent="0.3">
      <c r="B185" s="2">
        <v>234</v>
      </c>
      <c r="C185" s="68"/>
      <c r="D185" s="71">
        <v>7506022313966</v>
      </c>
      <c r="E185" s="96" t="s">
        <v>368</v>
      </c>
      <c r="F185" s="70"/>
      <c r="G185" s="70"/>
      <c r="H185" s="14"/>
      <c r="I185" s="14"/>
      <c r="J185" s="14"/>
      <c r="K185" s="14">
        <v>38</v>
      </c>
      <c r="L185" s="14"/>
      <c r="M185" s="15"/>
      <c r="N185" s="15"/>
      <c r="O185" s="23"/>
      <c r="P185" s="15"/>
      <c r="Q185" s="14"/>
      <c r="R185" s="15"/>
      <c r="S185" s="15"/>
      <c r="T185" s="15"/>
      <c r="U185" s="15"/>
      <c r="V185" s="16">
        <f t="shared" si="3"/>
        <v>38</v>
      </c>
      <c r="W185" s="26" t="e">
        <f>VLOOKUP(B185,REQUISICIÓN!$C$9:$G$509,5,0)</f>
        <v>#N/A</v>
      </c>
      <c r="X185" s="25"/>
      <c r="Y185" s="25"/>
      <c r="Z185" s="25"/>
      <c r="AA185" s="25"/>
    </row>
    <row r="186" spans="2:28" hidden="1" x14ac:dyDescent="0.3">
      <c r="B186" s="2">
        <v>37</v>
      </c>
      <c r="C186" s="68"/>
      <c r="D186" s="71" t="s">
        <v>350</v>
      </c>
      <c r="E186" s="61" t="s">
        <v>293</v>
      </c>
      <c r="F186" s="70">
        <f>VLOOKUP(B186,REQUISICIÓN!$C$9:$E$125,3,0)</f>
        <v>50</v>
      </c>
      <c r="G186" s="70" t="s">
        <v>4</v>
      </c>
      <c r="H186" s="14">
        <v>83.2</v>
      </c>
      <c r="I186" s="14">
        <v>89</v>
      </c>
      <c r="J186" s="14">
        <v>0</v>
      </c>
      <c r="K186" s="14"/>
      <c r="L186" s="14"/>
      <c r="M186" s="15">
        <v>0</v>
      </c>
      <c r="N186" s="15"/>
      <c r="O186" s="23">
        <v>0</v>
      </c>
      <c r="P186" s="15">
        <v>0</v>
      </c>
      <c r="Q186" s="14">
        <v>0</v>
      </c>
      <c r="R186" s="15">
        <v>0</v>
      </c>
      <c r="S186" s="15">
        <v>0</v>
      </c>
      <c r="T186" s="15">
        <v>0</v>
      </c>
      <c r="U186" s="15">
        <v>0</v>
      </c>
      <c r="V186" s="16">
        <f t="shared" si="3"/>
        <v>83.2</v>
      </c>
      <c r="W186" s="26">
        <f>VLOOKUP(B186,REQUISICIÓN!$C$9:$G$509,5,0)</f>
        <v>41</v>
      </c>
      <c r="X186" s="25"/>
      <c r="Y186" s="2"/>
      <c r="Z186" s="73"/>
      <c r="AA186" s="25"/>
      <c r="AB186" s="25"/>
    </row>
    <row r="187" spans="2:28" hidden="1" x14ac:dyDescent="0.3">
      <c r="B187" s="2">
        <v>74</v>
      </c>
      <c r="C187" s="68"/>
      <c r="D187" s="71" t="s">
        <v>23</v>
      </c>
      <c r="E187" s="61" t="s">
        <v>22</v>
      </c>
      <c r="F187" s="70" t="e">
        <f>VLOOKUP(B187,REQUISICIÓN!$C$9:$E$125,3,0)</f>
        <v>#N/A</v>
      </c>
      <c r="G187" s="70" t="s">
        <v>4</v>
      </c>
      <c r="H187" s="14">
        <v>0</v>
      </c>
      <c r="I187" s="14"/>
      <c r="J187" s="14">
        <v>0</v>
      </c>
      <c r="K187" s="14"/>
      <c r="L187" s="14"/>
      <c r="M187" s="15">
        <v>0</v>
      </c>
      <c r="N187" s="15"/>
      <c r="O187" s="23">
        <v>0</v>
      </c>
      <c r="P187" s="15">
        <v>0</v>
      </c>
      <c r="Q187" s="14">
        <v>0</v>
      </c>
      <c r="R187" s="15">
        <v>0</v>
      </c>
      <c r="S187" s="15">
        <v>0</v>
      </c>
      <c r="T187" s="15">
        <v>0</v>
      </c>
      <c r="U187" s="15">
        <v>109.62</v>
      </c>
      <c r="V187" s="16">
        <f t="shared" si="3"/>
        <v>109.62</v>
      </c>
      <c r="W187" s="26" t="e">
        <f>VLOOKUP(B187,REQUISICIÓN!$C$9:$G$509,5,0)</f>
        <v>#N/A</v>
      </c>
      <c r="X187" s="25"/>
      <c r="Y187" s="25"/>
      <c r="Z187" s="25"/>
      <c r="AA187" s="25"/>
    </row>
    <row r="188" spans="2:28" hidden="1" x14ac:dyDescent="0.3">
      <c r="B188" s="2">
        <v>104</v>
      </c>
      <c r="C188" s="68"/>
      <c r="D188" s="71">
        <v>0</v>
      </c>
      <c r="E188" s="61" t="s">
        <v>101</v>
      </c>
      <c r="F188" s="70" t="e">
        <f>VLOOKUP(B188,REQUISICIÓN!$C$9:$E$125,3,0)</f>
        <v>#N/A</v>
      </c>
      <c r="G188" s="70" t="s">
        <v>4</v>
      </c>
      <c r="H188" s="14">
        <v>32.200000000000003</v>
      </c>
      <c r="I188" s="14"/>
      <c r="J188" s="14">
        <v>29</v>
      </c>
      <c r="K188" s="14"/>
      <c r="L188" s="14"/>
      <c r="M188" s="15">
        <v>0</v>
      </c>
      <c r="N188" s="15"/>
      <c r="O188" s="23">
        <v>0</v>
      </c>
      <c r="P188" s="15">
        <v>0</v>
      </c>
      <c r="Q188" s="14">
        <v>0</v>
      </c>
      <c r="R188" s="15">
        <v>0</v>
      </c>
      <c r="S188" s="15">
        <v>0</v>
      </c>
      <c r="T188" s="15">
        <v>0</v>
      </c>
      <c r="U188" s="15">
        <v>0</v>
      </c>
      <c r="V188" s="16">
        <f t="shared" si="3"/>
        <v>29</v>
      </c>
      <c r="W188" s="26" t="e">
        <f>VLOOKUP(B188,REQUISICIÓN!$C$9:$G$509,5,0)</f>
        <v>#N/A</v>
      </c>
      <c r="X188" s="25"/>
      <c r="Y188" s="25"/>
      <c r="Z188" s="25"/>
      <c r="AA188" s="25"/>
    </row>
    <row r="189" spans="2:28" hidden="1" x14ac:dyDescent="0.3">
      <c r="B189" s="2">
        <v>54</v>
      </c>
      <c r="C189" s="68"/>
      <c r="D189" s="71">
        <v>15302</v>
      </c>
      <c r="E189" s="61" t="s">
        <v>15</v>
      </c>
      <c r="F189" s="70" t="e">
        <f>VLOOKUP(B189,REQUISICIÓN!$C$9:$E$125,3,0)</f>
        <v>#N/A</v>
      </c>
      <c r="G189" s="72" t="s">
        <v>91</v>
      </c>
      <c r="H189" s="14">
        <v>141.69999999999999</v>
      </c>
      <c r="I189" s="14"/>
      <c r="J189" s="14">
        <v>215</v>
      </c>
      <c r="K189" s="14"/>
      <c r="L189" s="14"/>
      <c r="M189" s="15">
        <v>0</v>
      </c>
      <c r="N189" s="15"/>
      <c r="O189" s="23">
        <v>0</v>
      </c>
      <c r="P189" s="15">
        <v>0</v>
      </c>
      <c r="Q189" s="14">
        <v>0</v>
      </c>
      <c r="R189" s="15">
        <v>0</v>
      </c>
      <c r="S189" s="15">
        <v>0</v>
      </c>
      <c r="T189" s="15">
        <v>0</v>
      </c>
      <c r="U189" s="15">
        <v>0</v>
      </c>
      <c r="V189" s="16">
        <f t="shared" si="3"/>
        <v>141.69999999999999</v>
      </c>
      <c r="W189" s="26" t="e">
        <f>VLOOKUP(B189,REQUISICIÓN!$C$9:$G$509,5,0)</f>
        <v>#N/A</v>
      </c>
      <c r="X189" s="25"/>
      <c r="Y189" s="2"/>
      <c r="Z189" s="73"/>
      <c r="AA189" s="25"/>
    </row>
    <row r="190" spans="2:28" hidden="1" x14ac:dyDescent="0.3">
      <c r="B190" s="2">
        <v>135</v>
      </c>
      <c r="C190" s="68"/>
      <c r="D190" s="71">
        <v>0</v>
      </c>
      <c r="E190" s="61" t="s">
        <v>252</v>
      </c>
      <c r="F190" s="70" t="e">
        <f>VLOOKUP(B190,REQUISICIÓN!$C$9:$E$125,3,0)</f>
        <v>#N/A</v>
      </c>
      <c r="G190" s="72" t="s">
        <v>4</v>
      </c>
      <c r="H190" s="14">
        <v>11</v>
      </c>
      <c r="I190" s="14"/>
      <c r="J190" s="14">
        <v>13.05</v>
      </c>
      <c r="K190" s="14"/>
      <c r="L190" s="14"/>
      <c r="M190" s="15">
        <v>0</v>
      </c>
      <c r="N190" s="15"/>
      <c r="O190" s="23">
        <v>0</v>
      </c>
      <c r="P190" s="15">
        <v>0</v>
      </c>
      <c r="Q190" s="14">
        <v>0</v>
      </c>
      <c r="R190" s="15">
        <v>0</v>
      </c>
      <c r="S190" s="15">
        <v>0</v>
      </c>
      <c r="T190" s="15">
        <v>0</v>
      </c>
      <c r="U190" s="15">
        <v>0</v>
      </c>
      <c r="V190" s="16">
        <f t="shared" si="3"/>
        <v>11</v>
      </c>
      <c r="W190" s="26" t="e">
        <f>VLOOKUP(B190,REQUISICIÓN!$C$9:$G$509,5,0)</f>
        <v>#N/A</v>
      </c>
      <c r="X190" s="25"/>
      <c r="Y190" s="2"/>
      <c r="Z190" s="73"/>
      <c r="AA190" s="25"/>
    </row>
    <row r="191" spans="2:28" hidden="1" x14ac:dyDescent="0.3">
      <c r="B191" s="2">
        <v>120</v>
      </c>
      <c r="C191" s="68"/>
      <c r="D191" s="71">
        <v>7501125142987</v>
      </c>
      <c r="E191" s="61" t="s">
        <v>75</v>
      </c>
      <c r="F191" s="70" t="e">
        <f>VLOOKUP(B191,REQUISICIÓN!$C$9:$E$125,3,0)</f>
        <v>#N/A</v>
      </c>
      <c r="G191" s="70" t="e">
        <f>VLOOKUP(B191,REQUISICIÓN!$C$9:$F$12,4,0)</f>
        <v>#N/A</v>
      </c>
      <c r="H191" s="14">
        <v>86.4</v>
      </c>
      <c r="I191" s="14"/>
      <c r="J191" s="14">
        <v>95</v>
      </c>
      <c r="K191" s="14"/>
      <c r="L191" s="14"/>
      <c r="M191" s="15">
        <v>0</v>
      </c>
      <c r="N191" s="15"/>
      <c r="O191" s="23">
        <v>0</v>
      </c>
      <c r="P191" s="15">
        <v>0</v>
      </c>
      <c r="Q191" s="14">
        <v>0</v>
      </c>
      <c r="R191" s="15">
        <v>0</v>
      </c>
      <c r="S191" s="15">
        <v>0</v>
      </c>
      <c r="T191" s="15">
        <v>0</v>
      </c>
      <c r="U191" s="15">
        <v>54</v>
      </c>
      <c r="V191" s="16">
        <f t="shared" si="3"/>
        <v>54</v>
      </c>
      <c r="W191" s="26" t="e">
        <f>VLOOKUP(B191,REQUISICIÓN!$C$9:$G$509,5,0)</f>
        <v>#N/A</v>
      </c>
      <c r="X191" s="25"/>
      <c r="Y191" s="2"/>
      <c r="Z191" s="73"/>
      <c r="AA191" s="25"/>
    </row>
    <row r="192" spans="2:28" hidden="1" x14ac:dyDescent="0.3">
      <c r="B192" s="2">
        <v>42</v>
      </c>
      <c r="C192" s="68"/>
      <c r="D192" s="71" t="s">
        <v>99</v>
      </c>
      <c r="E192" s="61" t="s">
        <v>14</v>
      </c>
      <c r="F192" s="70" t="e">
        <f>VLOOKUP(B192,REQUISICIÓN!$C$9:$E$125,3,0)</f>
        <v>#N/A</v>
      </c>
      <c r="G192" s="70" t="s">
        <v>4</v>
      </c>
      <c r="H192" s="14">
        <v>15.1</v>
      </c>
      <c r="I192" s="14"/>
      <c r="J192" s="14">
        <v>19.5</v>
      </c>
      <c r="K192" s="14"/>
      <c r="L192" s="14"/>
      <c r="M192" s="15">
        <v>0</v>
      </c>
      <c r="N192" s="15"/>
      <c r="O192" s="23">
        <v>0</v>
      </c>
      <c r="P192" s="15">
        <v>0</v>
      </c>
      <c r="Q192" s="14">
        <v>0</v>
      </c>
      <c r="R192" s="15">
        <v>0</v>
      </c>
      <c r="S192" s="15">
        <v>0</v>
      </c>
      <c r="T192" s="15">
        <v>0</v>
      </c>
      <c r="U192" s="15">
        <v>0</v>
      </c>
      <c r="V192" s="16">
        <f t="shared" si="3"/>
        <v>15.1</v>
      </c>
      <c r="W192" s="26" t="e">
        <f>VLOOKUP(B192,REQUISICIÓN!$C$9:$G$509,5,0)</f>
        <v>#N/A</v>
      </c>
      <c r="X192" s="25"/>
      <c r="Y192" s="2"/>
      <c r="Z192" s="73"/>
      <c r="AA192" s="25"/>
    </row>
    <row r="193" spans="2:28" hidden="1" x14ac:dyDescent="0.3">
      <c r="B193" s="2">
        <v>78</v>
      </c>
      <c r="C193" s="68"/>
      <c r="D193" s="71">
        <v>1103</v>
      </c>
      <c r="E193" s="61" t="s">
        <v>253</v>
      </c>
      <c r="F193" s="70" t="e">
        <f>VLOOKUP(B193,REQUISICIÓN!$C$9:$E$125,3,0)</f>
        <v>#N/A</v>
      </c>
      <c r="G193" s="70" t="s">
        <v>4</v>
      </c>
      <c r="H193" s="14">
        <v>15.1</v>
      </c>
      <c r="I193" s="14"/>
      <c r="J193" s="14">
        <v>17.25</v>
      </c>
      <c r="K193" s="14"/>
      <c r="L193" s="14"/>
      <c r="M193" s="15">
        <v>0</v>
      </c>
      <c r="N193" s="15"/>
      <c r="O193" s="23">
        <v>0</v>
      </c>
      <c r="P193" s="15">
        <v>0</v>
      </c>
      <c r="Q193" s="14">
        <v>0</v>
      </c>
      <c r="R193" s="15">
        <v>0</v>
      </c>
      <c r="S193" s="15">
        <v>0</v>
      </c>
      <c r="T193" s="15">
        <v>0</v>
      </c>
      <c r="U193" s="15">
        <v>0</v>
      </c>
      <c r="V193" s="16">
        <f t="shared" si="3"/>
        <v>15.1</v>
      </c>
      <c r="W193" s="26" t="e">
        <f>VLOOKUP(B193,REQUISICIÓN!$C$9:$G$509,5,0)</f>
        <v>#N/A</v>
      </c>
      <c r="X193" s="25"/>
      <c r="Y193" s="25"/>
      <c r="Z193" s="25"/>
      <c r="AA193" s="25"/>
    </row>
    <row r="194" spans="2:28" hidden="1" x14ac:dyDescent="0.3">
      <c r="B194" s="2">
        <v>111</v>
      </c>
      <c r="C194" s="71">
        <v>7501563014556</v>
      </c>
      <c r="D194" s="71">
        <v>0</v>
      </c>
      <c r="E194" s="61" t="s">
        <v>254</v>
      </c>
      <c r="F194" s="70" t="e">
        <f>VLOOKUP(B194,REQUISICIÓN!$C$9:$E$125,3,0)</f>
        <v>#N/A</v>
      </c>
      <c r="G194" s="70" t="s">
        <v>11</v>
      </c>
      <c r="H194" s="14">
        <f>8.4*50</f>
        <v>420</v>
      </c>
      <c r="I194" s="14"/>
      <c r="J194" s="14">
        <f>15*50</f>
        <v>750</v>
      </c>
      <c r="K194" s="14"/>
      <c r="L194" s="14"/>
      <c r="M194" s="15">
        <v>0</v>
      </c>
      <c r="N194" s="15"/>
      <c r="O194" s="23">
        <v>0</v>
      </c>
      <c r="P194" s="15">
        <v>0</v>
      </c>
      <c r="Q194" s="14">
        <v>0</v>
      </c>
      <c r="R194" s="15">
        <v>0</v>
      </c>
      <c r="S194" s="15">
        <v>0</v>
      </c>
      <c r="T194" s="15">
        <v>0</v>
      </c>
      <c r="U194" s="15">
        <v>0</v>
      </c>
      <c r="V194" s="16">
        <f t="shared" si="3"/>
        <v>420</v>
      </c>
      <c r="W194" s="26" t="e">
        <f>VLOOKUP(B194,REQUISICIÓN!$C$9:$G$509,5,0)</f>
        <v>#N/A</v>
      </c>
      <c r="X194" s="25"/>
      <c r="Y194" s="25"/>
      <c r="Z194" s="25"/>
      <c r="AA194" s="25"/>
    </row>
    <row r="195" spans="2:28" hidden="1" x14ac:dyDescent="0.3">
      <c r="B195" s="2">
        <v>119</v>
      </c>
      <c r="C195" s="68"/>
      <c r="D195" s="71">
        <v>0</v>
      </c>
      <c r="E195" s="61" t="s">
        <v>255</v>
      </c>
      <c r="F195" s="70" t="e">
        <f>VLOOKUP(B195,REQUISICIÓN!$C$9:$E$125,3,0)</f>
        <v>#N/A</v>
      </c>
      <c r="G195" s="70" t="s">
        <v>11</v>
      </c>
      <c r="H195" s="14">
        <v>460</v>
      </c>
      <c r="I195" s="14"/>
      <c r="J195" s="14">
        <v>750</v>
      </c>
      <c r="K195" s="14"/>
      <c r="L195" s="14"/>
      <c r="M195" s="15">
        <v>0</v>
      </c>
      <c r="N195" s="15"/>
      <c r="O195" s="23">
        <v>0</v>
      </c>
      <c r="P195" s="15">
        <v>0</v>
      </c>
      <c r="Q195" s="14">
        <v>0</v>
      </c>
      <c r="R195" s="15">
        <v>0</v>
      </c>
      <c r="S195" s="15">
        <v>0</v>
      </c>
      <c r="T195" s="15">
        <v>0</v>
      </c>
      <c r="U195" s="15">
        <v>0</v>
      </c>
      <c r="V195" s="16">
        <f t="shared" si="3"/>
        <v>460</v>
      </c>
      <c r="W195" s="26" t="e">
        <f>VLOOKUP(B195,REQUISICIÓN!$C$9:$G$509,5,0)</f>
        <v>#N/A</v>
      </c>
      <c r="X195" s="25"/>
      <c r="Y195" s="2"/>
      <c r="Z195" s="25"/>
      <c r="AA195" s="2"/>
    </row>
    <row r="196" spans="2:28" hidden="1" x14ac:dyDescent="0.3">
      <c r="B196" s="2">
        <v>106</v>
      </c>
      <c r="C196" s="71"/>
      <c r="D196" s="71">
        <v>0</v>
      </c>
      <c r="E196" s="61" t="s">
        <v>256</v>
      </c>
      <c r="F196" s="70" t="e">
        <f>VLOOKUP(B196,REQUISICIÓN!$C$9:$E$125,3,0)</f>
        <v>#N/A</v>
      </c>
      <c r="G196" s="70" t="s">
        <v>11</v>
      </c>
      <c r="H196" s="14">
        <f>8.98*50</f>
        <v>449</v>
      </c>
      <c r="I196" s="14"/>
      <c r="J196" s="14">
        <v>510</v>
      </c>
      <c r="K196" s="14"/>
      <c r="L196" s="14"/>
      <c r="M196" s="15">
        <v>770.44870000000003</v>
      </c>
      <c r="N196" s="15"/>
      <c r="O196" s="23">
        <v>0</v>
      </c>
      <c r="P196" s="15">
        <v>0</v>
      </c>
      <c r="Q196" s="14">
        <v>0</v>
      </c>
      <c r="R196" s="15">
        <v>0</v>
      </c>
      <c r="S196" s="15">
        <v>0</v>
      </c>
      <c r="T196" s="15">
        <v>0</v>
      </c>
      <c r="U196" s="15">
        <v>0</v>
      </c>
      <c r="V196" s="16">
        <f t="shared" si="3"/>
        <v>449</v>
      </c>
      <c r="W196" s="26" t="e">
        <f>VLOOKUP(B196,REQUISICIÓN!$C$9:$G$509,5,0)</f>
        <v>#N/A</v>
      </c>
      <c r="X196" s="25"/>
      <c r="Y196" s="25"/>
      <c r="Z196" s="25"/>
      <c r="AA196" s="25"/>
      <c r="AB196" t="e">
        <f>VLOOKUP(#REF!,REQUISICIÓN!$C$26:$H34,6,0)</f>
        <v>#REF!</v>
      </c>
    </row>
    <row r="197" spans="2:28" x14ac:dyDescent="0.3">
      <c r="B197" s="2">
        <v>38</v>
      </c>
      <c r="C197" s="68"/>
      <c r="D197" s="71">
        <v>300182</v>
      </c>
      <c r="E197" s="96" t="s">
        <v>257</v>
      </c>
      <c r="F197" s="70" t="e">
        <f>VLOOKUP(B197,REQUISICIÓN!$C$9:$E$125,3,0)</f>
        <v>#N/A</v>
      </c>
      <c r="G197" s="72" t="s">
        <v>4</v>
      </c>
      <c r="H197" s="14">
        <v>273.7</v>
      </c>
      <c r="I197" s="14"/>
      <c r="J197" s="14">
        <v>0</v>
      </c>
      <c r="K197" s="14">
        <v>355</v>
      </c>
      <c r="L197" s="14"/>
      <c r="M197" s="15">
        <v>0</v>
      </c>
      <c r="N197" s="15"/>
      <c r="O197" s="23">
        <v>0</v>
      </c>
      <c r="P197" s="15">
        <v>0</v>
      </c>
      <c r="Q197" s="14">
        <v>0</v>
      </c>
      <c r="R197" s="15">
        <v>0</v>
      </c>
      <c r="S197" s="15">
        <v>0</v>
      </c>
      <c r="T197" s="15">
        <v>0</v>
      </c>
      <c r="U197" s="15">
        <v>0</v>
      </c>
      <c r="V197" s="16">
        <f t="shared" si="3"/>
        <v>273.7</v>
      </c>
      <c r="W197" s="26" t="e">
        <f>VLOOKUP(B197,REQUISICIÓN!$C$9:$G$509,5,0)</f>
        <v>#N/A</v>
      </c>
      <c r="X197" s="25"/>
      <c r="Y197" s="2"/>
      <c r="Z197" s="73"/>
      <c r="AA197" s="25"/>
    </row>
    <row r="198" spans="2:28" hidden="1" x14ac:dyDescent="0.3">
      <c r="B198" s="2">
        <v>129</v>
      </c>
      <c r="C198" s="71"/>
      <c r="D198" s="71">
        <v>300183</v>
      </c>
      <c r="E198" s="61" t="s">
        <v>258</v>
      </c>
      <c r="F198" s="70" t="e">
        <f>VLOOKUP(B198,REQUISICIÓN!$C$9:$E$125,3,0)</f>
        <v>#N/A</v>
      </c>
      <c r="G198" s="70" t="s">
        <v>4</v>
      </c>
      <c r="H198" s="14">
        <v>112.6</v>
      </c>
      <c r="I198" s="14"/>
      <c r="J198" s="14">
        <v>68</v>
      </c>
      <c r="K198" s="14"/>
      <c r="L198" s="14"/>
      <c r="M198" s="15">
        <v>0</v>
      </c>
      <c r="N198" s="15"/>
      <c r="O198" s="23">
        <v>0</v>
      </c>
      <c r="P198" s="15">
        <v>0</v>
      </c>
      <c r="Q198" s="14">
        <v>0</v>
      </c>
      <c r="R198" s="15">
        <v>0</v>
      </c>
      <c r="S198" s="15">
        <v>0</v>
      </c>
      <c r="T198" s="15">
        <v>0</v>
      </c>
      <c r="U198" s="15">
        <v>0</v>
      </c>
      <c r="V198" s="16">
        <f t="shared" si="3"/>
        <v>68</v>
      </c>
      <c r="W198" s="26" t="e">
        <f>VLOOKUP(B198,REQUISICIÓN!$C$9:$G$509,5,0)</f>
        <v>#N/A</v>
      </c>
      <c r="X198" s="25"/>
      <c r="Y198" s="25"/>
      <c r="Z198" s="25"/>
      <c r="AA198" s="25"/>
    </row>
    <row r="199" spans="2:28" x14ac:dyDescent="0.3">
      <c r="B199" s="2">
        <v>236</v>
      </c>
      <c r="C199" s="71"/>
      <c r="D199" s="71"/>
      <c r="E199" s="96" t="s">
        <v>370</v>
      </c>
      <c r="F199" s="70" t="e">
        <f>VLOOKUP(B199,REQUISICIÓN!$C$9:$E$125,3,0)</f>
        <v>#N/A</v>
      </c>
      <c r="G199" s="70" t="s">
        <v>4</v>
      </c>
      <c r="H199" s="14"/>
      <c r="I199" s="14"/>
      <c r="J199" s="14"/>
      <c r="K199" s="14">
        <v>390</v>
      </c>
      <c r="L199" s="14"/>
      <c r="M199" s="15"/>
      <c r="N199" s="15"/>
      <c r="O199" s="23"/>
      <c r="P199" s="15"/>
      <c r="Q199" s="14"/>
      <c r="R199" s="15"/>
      <c r="S199" s="15"/>
      <c r="T199" s="15"/>
      <c r="U199" s="15"/>
      <c r="V199" s="16">
        <f t="shared" si="3"/>
        <v>390</v>
      </c>
      <c r="W199" s="26" t="e">
        <f>VLOOKUP(B199,REQUISICIÓN!$C$9:$G$509,5,0)</f>
        <v>#N/A</v>
      </c>
      <c r="X199" s="25"/>
      <c r="Y199" s="25"/>
      <c r="Z199" s="25"/>
      <c r="AA199" s="25"/>
    </row>
    <row r="200" spans="2:28" x14ac:dyDescent="0.3">
      <c r="B200" s="2">
        <v>40</v>
      </c>
      <c r="C200" s="68"/>
      <c r="D200" s="71">
        <v>7760</v>
      </c>
      <c r="E200" s="96" t="s">
        <v>62</v>
      </c>
      <c r="F200" s="70">
        <f>VLOOKUP(B200,REQUISICIÓN!$C$9:$E$125,3,0)</f>
        <v>1</v>
      </c>
      <c r="G200" s="70" t="s">
        <v>11</v>
      </c>
      <c r="H200" s="14">
        <v>640</v>
      </c>
      <c r="I200" s="14">
        <v>640</v>
      </c>
      <c r="J200" s="14"/>
      <c r="K200" s="14">
        <v>810</v>
      </c>
      <c r="L200" s="14"/>
      <c r="M200" s="15">
        <v>0</v>
      </c>
      <c r="N200" s="15">
        <v>0</v>
      </c>
      <c r="O200" s="23">
        <v>0</v>
      </c>
      <c r="P200" s="15">
        <v>0</v>
      </c>
      <c r="Q200" s="14">
        <v>0</v>
      </c>
      <c r="R200" s="15">
        <v>0</v>
      </c>
      <c r="S200" s="15">
        <v>0</v>
      </c>
      <c r="T200" s="15">
        <v>0</v>
      </c>
      <c r="U200" s="15">
        <v>0</v>
      </c>
      <c r="V200" s="16">
        <f t="shared" si="3"/>
        <v>640</v>
      </c>
      <c r="W200" s="26">
        <f>VLOOKUP(B200,REQUISICIÓN!$C$9:$G$509,5,0)</f>
        <v>41</v>
      </c>
      <c r="X200" s="25"/>
      <c r="Y200" s="2"/>
      <c r="Z200" s="73"/>
      <c r="AA200" s="74"/>
      <c r="AB200" s="25"/>
    </row>
    <row r="201" spans="2:28" hidden="1" x14ac:dyDescent="0.3">
      <c r="B201" s="2">
        <v>118</v>
      </c>
      <c r="C201" s="68"/>
      <c r="D201" s="71">
        <v>0</v>
      </c>
      <c r="E201" s="61" t="s">
        <v>69</v>
      </c>
      <c r="F201" s="70" t="e">
        <f>VLOOKUP(B201,REQUISICIÓN!$C$9:$E$125,3,0)</f>
        <v>#N/A</v>
      </c>
      <c r="G201" s="70" t="s">
        <v>4</v>
      </c>
      <c r="H201" s="14">
        <v>0</v>
      </c>
      <c r="I201" s="14"/>
      <c r="J201" s="14">
        <v>0</v>
      </c>
      <c r="K201" s="14"/>
      <c r="L201" s="14"/>
      <c r="M201" s="15">
        <v>0</v>
      </c>
      <c r="N201" s="15"/>
      <c r="O201" s="23">
        <v>0</v>
      </c>
      <c r="P201" s="15">
        <v>0</v>
      </c>
      <c r="Q201" s="14">
        <v>0</v>
      </c>
      <c r="R201" s="15">
        <v>0</v>
      </c>
      <c r="S201" s="15">
        <v>0</v>
      </c>
      <c r="T201" s="15">
        <v>0</v>
      </c>
      <c r="U201" s="15">
        <v>0</v>
      </c>
      <c r="V201" s="16" t="e">
        <f t="shared" ref="V201:V252" si="4">SMALL(H201:U201,COUNTIF(H201:U201,"&lt;=0")+1)</f>
        <v>#NUM!</v>
      </c>
      <c r="W201" s="26" t="e">
        <f>VLOOKUP(B201,REQUISICIÓN!$C$9:$G$509,5,0)</f>
        <v>#N/A</v>
      </c>
      <c r="X201" s="25"/>
      <c r="Y201" s="2"/>
      <c r="Z201" s="73"/>
      <c r="AA201" s="74"/>
    </row>
    <row r="202" spans="2:28" hidden="1" x14ac:dyDescent="0.3">
      <c r="B202" s="2">
        <v>137</v>
      </c>
      <c r="C202" s="68"/>
      <c r="D202" s="71">
        <v>0</v>
      </c>
      <c r="E202" s="61" t="s">
        <v>118</v>
      </c>
      <c r="F202" s="70" t="e">
        <f>VLOOKUP(B202,REQUISICIÓN!$C$9:$E$125,3,0)</f>
        <v>#N/A</v>
      </c>
      <c r="G202" s="70" t="s">
        <v>4</v>
      </c>
      <c r="H202" s="14">
        <v>0</v>
      </c>
      <c r="I202" s="14"/>
      <c r="J202" s="14">
        <v>0</v>
      </c>
      <c r="K202" s="14"/>
      <c r="L202" s="14"/>
      <c r="M202" s="15">
        <v>0</v>
      </c>
      <c r="N202" s="15"/>
      <c r="O202" s="23">
        <v>0</v>
      </c>
      <c r="P202" s="15">
        <v>0</v>
      </c>
      <c r="Q202" s="14">
        <v>0</v>
      </c>
      <c r="R202" s="15">
        <v>0</v>
      </c>
      <c r="S202" s="15">
        <v>0</v>
      </c>
      <c r="T202" s="15">
        <v>0</v>
      </c>
      <c r="U202" s="15">
        <v>0</v>
      </c>
      <c r="V202" s="16" t="e">
        <f t="shared" si="4"/>
        <v>#NUM!</v>
      </c>
      <c r="W202" s="26" t="e">
        <f>VLOOKUP(B202,REQUISICIÓN!$C$9:$G$509,5,0)</f>
        <v>#N/A</v>
      </c>
      <c r="X202" s="25"/>
      <c r="Y202" s="2"/>
      <c r="Z202" s="73"/>
      <c r="AA202" s="74"/>
    </row>
    <row r="203" spans="2:28" x14ac:dyDescent="0.3">
      <c r="B203" s="2">
        <v>72</v>
      </c>
      <c r="C203" s="68"/>
      <c r="D203" s="71">
        <v>0</v>
      </c>
      <c r="E203" s="96" t="s">
        <v>21</v>
      </c>
      <c r="F203" s="70" t="e">
        <f>VLOOKUP(B203,REQUISICIÓN!$C$9:$E$125,3,0)</f>
        <v>#N/A</v>
      </c>
      <c r="G203" s="70" t="s">
        <v>4</v>
      </c>
      <c r="H203" s="14">
        <v>31</v>
      </c>
      <c r="I203" s="14"/>
      <c r="J203" s="14">
        <v>9.35</v>
      </c>
      <c r="K203" s="14">
        <v>32</v>
      </c>
      <c r="L203" s="14"/>
      <c r="M203" s="15">
        <v>0</v>
      </c>
      <c r="N203" s="15"/>
      <c r="O203" s="23">
        <v>0</v>
      </c>
      <c r="P203" s="15">
        <v>0</v>
      </c>
      <c r="Q203" s="14">
        <v>0</v>
      </c>
      <c r="R203" s="15">
        <v>0</v>
      </c>
      <c r="S203" s="15">
        <v>0</v>
      </c>
      <c r="T203" s="15">
        <v>0</v>
      </c>
      <c r="U203" s="15">
        <v>0</v>
      </c>
      <c r="V203" s="16">
        <f t="shared" si="4"/>
        <v>9.35</v>
      </c>
      <c r="W203" s="26" t="e">
        <f>VLOOKUP(B203,REQUISICIÓN!$C$9:$G$509,5,0)</f>
        <v>#N/A</v>
      </c>
      <c r="X203" s="25"/>
      <c r="Y203" s="25"/>
      <c r="Z203" s="25"/>
      <c r="AA203" s="25"/>
    </row>
    <row r="204" spans="2:28" x14ac:dyDescent="0.3">
      <c r="B204" s="2">
        <v>107</v>
      </c>
      <c r="C204" s="71">
        <v>7501125114960</v>
      </c>
      <c r="D204" s="71"/>
      <c r="E204" s="96" t="s">
        <v>31</v>
      </c>
      <c r="F204" s="70" t="e">
        <f>VLOOKUP(B204,REQUISICIÓN!$C$9:$E$125,3,0)</f>
        <v>#N/A</v>
      </c>
      <c r="G204" s="70" t="s">
        <v>4</v>
      </c>
      <c r="H204" s="14">
        <v>0</v>
      </c>
      <c r="I204" s="14"/>
      <c r="J204" s="14">
        <v>475</v>
      </c>
      <c r="K204" s="14">
        <v>458</v>
      </c>
      <c r="L204" s="14"/>
      <c r="M204" s="15">
        <v>0</v>
      </c>
      <c r="N204" s="15"/>
      <c r="O204" s="23">
        <v>0</v>
      </c>
      <c r="P204" s="15">
        <v>0</v>
      </c>
      <c r="Q204" s="14">
        <v>0</v>
      </c>
      <c r="R204" s="15">
        <v>0</v>
      </c>
      <c r="S204" s="15">
        <v>0</v>
      </c>
      <c r="T204" s="15">
        <v>0</v>
      </c>
      <c r="U204" s="15">
        <v>0</v>
      </c>
      <c r="V204" s="16">
        <f t="shared" si="4"/>
        <v>458</v>
      </c>
      <c r="W204" s="26" t="e">
        <f>VLOOKUP(B204,REQUISICIÓN!$C$9:$G$509,5,0)</f>
        <v>#N/A</v>
      </c>
      <c r="X204" s="25"/>
      <c r="Y204" s="25"/>
      <c r="Z204" s="25"/>
      <c r="AA204" s="25"/>
    </row>
    <row r="205" spans="2:28" x14ac:dyDescent="0.3">
      <c r="B205" s="2">
        <v>237</v>
      </c>
      <c r="C205" s="71">
        <v>7506022332479</v>
      </c>
      <c r="D205" s="71"/>
      <c r="E205" s="96" t="s">
        <v>371</v>
      </c>
      <c r="F205" s="70" t="e">
        <f>VLOOKUP(B205,REQUISICIÓN!$C$9:$E$125,3,0)</f>
        <v>#N/A</v>
      </c>
      <c r="G205" s="70" t="s">
        <v>4</v>
      </c>
      <c r="H205" s="14"/>
      <c r="I205" s="14"/>
      <c r="J205" s="14"/>
      <c r="K205" s="14">
        <v>39</v>
      </c>
      <c r="L205" s="14"/>
      <c r="M205" s="15"/>
      <c r="N205" s="15"/>
      <c r="O205" s="23"/>
      <c r="P205" s="15"/>
      <c r="Q205" s="14"/>
      <c r="R205" s="15"/>
      <c r="S205" s="15"/>
      <c r="T205" s="15"/>
      <c r="U205" s="15"/>
      <c r="V205" s="16">
        <f t="shared" si="4"/>
        <v>39</v>
      </c>
      <c r="W205" s="26" t="e">
        <f>VLOOKUP(B205,REQUISICIÓN!$C$9:$G$509,5,0)</f>
        <v>#N/A</v>
      </c>
      <c r="X205" s="25"/>
      <c r="Y205" s="25"/>
      <c r="Z205" s="25"/>
      <c r="AA205" s="25"/>
    </row>
    <row r="206" spans="2:28" hidden="1" x14ac:dyDescent="0.3">
      <c r="B206" s="2">
        <v>130</v>
      </c>
      <c r="C206" s="68"/>
      <c r="D206" s="71" t="s">
        <v>269</v>
      </c>
      <c r="E206" s="61" t="s">
        <v>259</v>
      </c>
      <c r="F206" s="70" t="e">
        <f>VLOOKUP(B206,REQUISICIÓN!$C$9:$E$125,3,0)</f>
        <v>#N/A</v>
      </c>
      <c r="G206" s="70" t="s">
        <v>4</v>
      </c>
      <c r="H206" s="14">
        <v>0</v>
      </c>
      <c r="I206" s="14"/>
      <c r="J206" s="14">
        <v>12</v>
      </c>
      <c r="K206" s="14"/>
      <c r="L206" s="14"/>
      <c r="M206" s="15">
        <v>6.2820999999999998</v>
      </c>
      <c r="N206" s="15"/>
      <c r="O206" s="23">
        <v>0</v>
      </c>
      <c r="P206" s="15">
        <v>0</v>
      </c>
      <c r="Q206" s="14">
        <v>0</v>
      </c>
      <c r="R206" s="15">
        <v>0</v>
      </c>
      <c r="S206" s="15">
        <v>0</v>
      </c>
      <c r="T206" s="15">
        <v>0</v>
      </c>
      <c r="U206" s="15">
        <v>0</v>
      </c>
      <c r="V206" s="16">
        <f t="shared" si="4"/>
        <v>6.2820999999999998</v>
      </c>
      <c r="W206" s="26" t="e">
        <f>VLOOKUP(B206,REQUISICIÓN!$C$9:$G$509,5,0)</f>
        <v>#N/A</v>
      </c>
      <c r="X206" s="25"/>
      <c r="Y206" s="25"/>
      <c r="Z206" s="25"/>
      <c r="AA206" s="25"/>
    </row>
    <row r="207" spans="2:28" hidden="1" x14ac:dyDescent="0.3">
      <c r="B207" s="2">
        <v>131</v>
      </c>
      <c r="C207" s="68"/>
      <c r="D207" s="71" t="s">
        <v>270</v>
      </c>
      <c r="E207" s="61" t="s">
        <v>260</v>
      </c>
      <c r="F207" s="70" t="e">
        <f>VLOOKUP(B207,REQUISICIÓN!$C$9:$E$125,3,0)</f>
        <v>#N/A</v>
      </c>
      <c r="G207" s="70" t="s">
        <v>4</v>
      </c>
      <c r="H207" s="14">
        <v>0</v>
      </c>
      <c r="I207" s="14"/>
      <c r="J207" s="14">
        <v>12</v>
      </c>
      <c r="K207" s="14"/>
      <c r="L207" s="14"/>
      <c r="M207" s="15">
        <v>6.2820999999999998</v>
      </c>
      <c r="N207" s="15"/>
      <c r="O207" s="23">
        <v>0</v>
      </c>
      <c r="P207" s="15">
        <v>0</v>
      </c>
      <c r="Q207" s="14">
        <v>0</v>
      </c>
      <c r="R207" s="15">
        <v>0</v>
      </c>
      <c r="S207" s="15">
        <v>0</v>
      </c>
      <c r="T207" s="15">
        <v>0</v>
      </c>
      <c r="U207" s="15">
        <v>0</v>
      </c>
      <c r="V207" s="16">
        <f t="shared" si="4"/>
        <v>6.2820999999999998</v>
      </c>
      <c r="W207" s="26" t="e">
        <f>VLOOKUP(B207,REQUISICIÓN!$C$9:$G$509,5,0)</f>
        <v>#N/A</v>
      </c>
      <c r="X207" s="25"/>
      <c r="Y207" s="25"/>
      <c r="Z207" s="25"/>
      <c r="AA207" s="25"/>
    </row>
    <row r="208" spans="2:28" hidden="1" x14ac:dyDescent="0.3">
      <c r="B208" s="2">
        <v>127</v>
      </c>
      <c r="C208" s="68"/>
      <c r="D208" s="71">
        <v>0</v>
      </c>
      <c r="E208" s="61" t="s">
        <v>261</v>
      </c>
      <c r="F208" s="70" t="e">
        <f>VLOOKUP(B208,REQUISICIÓN!$C$9:$E$125,3,0)</f>
        <v>#N/A</v>
      </c>
      <c r="G208" s="70" t="s">
        <v>4</v>
      </c>
      <c r="H208" s="14">
        <v>0</v>
      </c>
      <c r="I208" s="14"/>
      <c r="J208" s="14">
        <v>0</v>
      </c>
      <c r="K208" s="14"/>
      <c r="L208" s="14"/>
      <c r="M208" s="15">
        <v>0</v>
      </c>
      <c r="N208" s="15"/>
      <c r="O208" s="23">
        <v>0</v>
      </c>
      <c r="P208" s="15">
        <v>0</v>
      </c>
      <c r="Q208" s="14">
        <v>0</v>
      </c>
      <c r="R208" s="15">
        <v>0</v>
      </c>
      <c r="S208" s="15">
        <v>0</v>
      </c>
      <c r="T208" s="15">
        <v>0</v>
      </c>
      <c r="U208" s="15">
        <v>0</v>
      </c>
      <c r="V208" s="16" t="e">
        <f t="shared" si="4"/>
        <v>#NUM!</v>
      </c>
      <c r="W208" s="26" t="e">
        <f>VLOOKUP(B208,REQUISICIÓN!$C$9:$G$509,5,0)</f>
        <v>#N/A</v>
      </c>
      <c r="X208" s="25"/>
      <c r="Y208" s="25"/>
      <c r="Z208" s="25"/>
      <c r="AA208" s="25"/>
    </row>
    <row r="209" spans="2:28" hidden="1" x14ac:dyDescent="0.3">
      <c r="B209" s="2">
        <v>50</v>
      </c>
      <c r="C209" s="68"/>
      <c r="D209" s="71">
        <v>25133</v>
      </c>
      <c r="E209" s="61" t="s">
        <v>262</v>
      </c>
      <c r="F209" s="70" t="e">
        <f>VLOOKUP(B209,REQUISICIÓN!$C$9:$E$125,3,0)</f>
        <v>#N/A</v>
      </c>
      <c r="G209" s="70" t="s">
        <v>4</v>
      </c>
      <c r="H209" s="14">
        <v>23</v>
      </c>
      <c r="I209" s="14"/>
      <c r="J209" s="14">
        <v>29.5</v>
      </c>
      <c r="K209" s="14"/>
      <c r="L209" s="14"/>
      <c r="M209" s="15">
        <v>0</v>
      </c>
      <c r="N209" s="15"/>
      <c r="O209" s="23">
        <v>0</v>
      </c>
      <c r="P209" s="15">
        <v>0</v>
      </c>
      <c r="Q209" s="14">
        <v>0</v>
      </c>
      <c r="R209" s="15">
        <v>0</v>
      </c>
      <c r="S209" s="15">
        <v>0</v>
      </c>
      <c r="T209" s="15">
        <v>0</v>
      </c>
      <c r="U209" s="15">
        <v>0</v>
      </c>
      <c r="V209" s="16">
        <f t="shared" si="4"/>
        <v>23</v>
      </c>
      <c r="W209" s="26" t="e">
        <f>VLOOKUP(B209,REQUISICIÓN!$C$9:$G$509,5,0)</f>
        <v>#N/A</v>
      </c>
      <c r="X209" s="25"/>
      <c r="Y209" s="2"/>
      <c r="Z209" s="73"/>
      <c r="AA209" s="25"/>
    </row>
    <row r="210" spans="2:28" hidden="1" x14ac:dyDescent="0.3">
      <c r="B210" s="2">
        <v>51</v>
      </c>
      <c r="C210" s="68"/>
      <c r="D210" s="71">
        <v>26163</v>
      </c>
      <c r="E210" s="61" t="s">
        <v>263</v>
      </c>
      <c r="F210" s="70" t="e">
        <f>VLOOKUP(B210,REQUISICIÓN!$C$9:$E$125,3,0)</f>
        <v>#N/A</v>
      </c>
      <c r="G210" s="70" t="s">
        <v>4</v>
      </c>
      <c r="H210" s="14">
        <v>23</v>
      </c>
      <c r="I210" s="14"/>
      <c r="J210" s="14">
        <v>29.5</v>
      </c>
      <c r="K210" s="14"/>
      <c r="L210" s="14"/>
      <c r="M210" s="15">
        <v>0</v>
      </c>
      <c r="N210" s="15"/>
      <c r="O210" s="23">
        <v>0</v>
      </c>
      <c r="P210" s="15">
        <v>0</v>
      </c>
      <c r="Q210" s="14">
        <v>0</v>
      </c>
      <c r="R210" s="15">
        <v>0</v>
      </c>
      <c r="S210" s="15">
        <v>0</v>
      </c>
      <c r="T210" s="15">
        <v>0</v>
      </c>
      <c r="U210" s="15">
        <v>0</v>
      </c>
      <c r="V210" s="16">
        <f t="shared" si="4"/>
        <v>23</v>
      </c>
      <c r="W210" s="26" t="e">
        <f>VLOOKUP(B210,REQUISICIÓN!$C$9:$G$509,5,0)</f>
        <v>#N/A</v>
      </c>
      <c r="X210" s="25"/>
      <c r="Y210" s="2"/>
      <c r="Z210" s="73"/>
      <c r="AA210" s="25"/>
    </row>
    <row r="211" spans="2:28" hidden="1" x14ac:dyDescent="0.3">
      <c r="B211" s="2">
        <v>52</v>
      </c>
      <c r="C211" s="68"/>
      <c r="D211" s="71">
        <v>26183</v>
      </c>
      <c r="E211" s="61" t="s">
        <v>264</v>
      </c>
      <c r="F211" s="70" t="e">
        <f>VLOOKUP(B211,REQUISICIÓN!$C$9:$E$125,3,0)</f>
        <v>#N/A</v>
      </c>
      <c r="G211" s="70" t="s">
        <v>4</v>
      </c>
      <c r="H211" s="14">
        <v>23</v>
      </c>
      <c r="I211" s="14"/>
      <c r="J211" s="14">
        <v>29.5</v>
      </c>
      <c r="K211" s="14"/>
      <c r="L211" s="14"/>
      <c r="M211" s="15">
        <v>0</v>
      </c>
      <c r="N211" s="15"/>
      <c r="O211" s="23">
        <v>0</v>
      </c>
      <c r="P211" s="15">
        <v>0</v>
      </c>
      <c r="Q211" s="14">
        <v>0</v>
      </c>
      <c r="R211" s="15">
        <v>0</v>
      </c>
      <c r="S211" s="15">
        <v>0</v>
      </c>
      <c r="T211" s="15">
        <v>0</v>
      </c>
      <c r="U211" s="15">
        <v>0</v>
      </c>
      <c r="V211" s="16">
        <f t="shared" si="4"/>
        <v>23</v>
      </c>
      <c r="W211" s="26" t="e">
        <f>VLOOKUP(B211,REQUISICIÓN!$C$9:$G$509,5,0)</f>
        <v>#N/A</v>
      </c>
      <c r="X211" s="25"/>
      <c r="Y211" s="2"/>
      <c r="Z211" s="73"/>
      <c r="AA211" s="25"/>
    </row>
    <row r="212" spans="2:28" x14ac:dyDescent="0.3">
      <c r="B212" s="2">
        <v>239</v>
      </c>
      <c r="C212" s="71">
        <v>7506022332516</v>
      </c>
      <c r="D212" s="71"/>
      <c r="E212" s="96" t="s">
        <v>372</v>
      </c>
      <c r="F212" s="70" t="e">
        <f>VLOOKUP(B212,REQUISICIÓN!$C$9:$E$125,3,0)</f>
        <v>#N/A</v>
      </c>
      <c r="G212" s="70" t="s">
        <v>4</v>
      </c>
      <c r="H212" s="14"/>
      <c r="I212" s="14"/>
      <c r="J212" s="14"/>
      <c r="K212" s="14">
        <v>39</v>
      </c>
      <c r="L212" s="14"/>
      <c r="M212" s="15"/>
      <c r="N212" s="15"/>
      <c r="O212" s="23"/>
      <c r="P212" s="15"/>
      <c r="Q212" s="14"/>
      <c r="R212" s="15"/>
      <c r="S212" s="15"/>
      <c r="T212" s="15"/>
      <c r="U212" s="15"/>
      <c r="V212" s="16">
        <f t="shared" si="4"/>
        <v>39</v>
      </c>
      <c r="W212" s="26" t="e">
        <f>VLOOKUP(B212,REQUISICIÓN!$C$9:$G$509,5,0)</f>
        <v>#N/A</v>
      </c>
      <c r="X212" s="25"/>
      <c r="Y212" s="2"/>
      <c r="Z212" s="73"/>
      <c r="AA212" s="25"/>
    </row>
    <row r="213" spans="2:28" hidden="1" x14ac:dyDescent="0.3">
      <c r="B213" s="2">
        <v>53</v>
      </c>
      <c r="C213" s="68"/>
      <c r="D213" s="71">
        <v>25193</v>
      </c>
      <c r="E213" s="61" t="s">
        <v>265</v>
      </c>
      <c r="F213" s="70" t="e">
        <f>VLOOKUP(B213,REQUISICIÓN!$C$9:$E$125,3,0)</f>
        <v>#N/A</v>
      </c>
      <c r="G213" s="70" t="s">
        <v>4</v>
      </c>
      <c r="H213" s="14">
        <v>23</v>
      </c>
      <c r="I213" s="14"/>
      <c r="J213" s="14">
        <v>29.5</v>
      </c>
      <c r="K213" s="14"/>
      <c r="L213" s="14"/>
      <c r="M213" s="15">
        <v>0</v>
      </c>
      <c r="N213" s="15"/>
      <c r="O213" s="23">
        <v>0</v>
      </c>
      <c r="P213" s="15">
        <v>0</v>
      </c>
      <c r="Q213" s="14">
        <v>0</v>
      </c>
      <c r="R213" s="15">
        <v>0</v>
      </c>
      <c r="S213" s="15">
        <v>0</v>
      </c>
      <c r="T213" s="15">
        <v>0</v>
      </c>
      <c r="U213" s="15">
        <v>0</v>
      </c>
      <c r="V213" s="16">
        <f t="shared" si="4"/>
        <v>23</v>
      </c>
      <c r="W213" s="26" t="e">
        <f>VLOOKUP(B213,REQUISICIÓN!$C$9:$G$509,5,0)</f>
        <v>#N/A</v>
      </c>
      <c r="X213" s="25"/>
      <c r="Y213" s="2"/>
      <c r="Z213" s="73"/>
      <c r="AA213" s="25"/>
    </row>
    <row r="214" spans="2:28" x14ac:dyDescent="0.3">
      <c r="B214" s="2">
        <v>197</v>
      </c>
      <c r="C214" s="71">
        <v>7501128125086</v>
      </c>
      <c r="D214" s="71">
        <v>0</v>
      </c>
      <c r="E214" s="96" t="s">
        <v>202</v>
      </c>
      <c r="F214" s="70" t="e">
        <f>VLOOKUP(B214,REQUISICIÓN!$C$9:$E$125,3,0)</f>
        <v>#N/A</v>
      </c>
      <c r="G214" s="70" t="s">
        <v>4</v>
      </c>
      <c r="H214" s="14">
        <v>0</v>
      </c>
      <c r="I214" s="14"/>
      <c r="J214" s="14">
        <v>0</v>
      </c>
      <c r="K214" s="14">
        <v>39</v>
      </c>
      <c r="L214" s="14"/>
      <c r="M214" s="15">
        <v>0</v>
      </c>
      <c r="N214" s="15"/>
      <c r="O214" s="23">
        <v>0</v>
      </c>
      <c r="P214" s="15">
        <v>0</v>
      </c>
      <c r="Q214" s="14">
        <v>0</v>
      </c>
      <c r="R214" s="15">
        <v>0</v>
      </c>
      <c r="S214" s="15">
        <v>0</v>
      </c>
      <c r="T214" s="15">
        <v>0</v>
      </c>
      <c r="U214" s="15">
        <v>0</v>
      </c>
      <c r="V214" s="16">
        <f t="shared" si="4"/>
        <v>39</v>
      </c>
      <c r="W214" s="26" t="e">
        <f>VLOOKUP(B214,REQUISICIÓN!$C$9:$G$509,5,0)</f>
        <v>#N/A</v>
      </c>
      <c r="X214" s="2"/>
      <c r="Y214" s="2"/>
      <c r="Z214" s="25"/>
      <c r="AA214" s="2"/>
    </row>
    <row r="215" spans="2:28" hidden="1" x14ac:dyDescent="0.3">
      <c r="B215" s="2">
        <v>105</v>
      </c>
      <c r="C215" s="68"/>
      <c r="D215" s="71" t="s">
        <v>271</v>
      </c>
      <c r="E215" s="61" t="s">
        <v>30</v>
      </c>
      <c r="F215" s="70" t="e">
        <f>VLOOKUP(B215,REQUISICIÓN!$C$9:$E$125,3,0)</f>
        <v>#N/A</v>
      </c>
      <c r="G215" s="70" t="s">
        <v>4</v>
      </c>
      <c r="H215" s="14">
        <v>68.5</v>
      </c>
      <c r="I215" s="14"/>
      <c r="J215" s="14">
        <v>0</v>
      </c>
      <c r="K215" s="14"/>
      <c r="L215" s="14"/>
      <c r="M215" s="15">
        <v>0</v>
      </c>
      <c r="N215" s="15"/>
      <c r="O215" s="23">
        <v>0</v>
      </c>
      <c r="P215" s="15">
        <v>0</v>
      </c>
      <c r="Q215" s="14">
        <v>0</v>
      </c>
      <c r="R215" s="15">
        <v>0</v>
      </c>
      <c r="S215" s="15">
        <v>0</v>
      </c>
      <c r="T215" s="15">
        <v>0</v>
      </c>
      <c r="U215" s="15">
        <v>0</v>
      </c>
      <c r="V215" s="16">
        <f t="shared" si="4"/>
        <v>68.5</v>
      </c>
      <c r="W215" s="26" t="e">
        <f>VLOOKUP(B215,REQUISICIÓN!$C$9:$G$509,5,0)</f>
        <v>#N/A</v>
      </c>
      <c r="X215" s="25"/>
      <c r="Y215" s="2"/>
      <c r="Z215" s="73"/>
      <c r="AA215" s="25"/>
    </row>
    <row r="216" spans="2:28" x14ac:dyDescent="0.3">
      <c r="B216" s="2">
        <v>252</v>
      </c>
      <c r="C216" s="68"/>
      <c r="D216" s="71"/>
      <c r="E216" s="96" t="s">
        <v>386</v>
      </c>
      <c r="F216" s="70" t="e">
        <f>VLOOKUP(B216,REQUISICIÓN!$C$9:$E$125,3,0)</f>
        <v>#N/A</v>
      </c>
      <c r="G216" s="70" t="s">
        <v>4</v>
      </c>
      <c r="H216" s="14"/>
      <c r="I216" s="14"/>
      <c r="J216" s="14"/>
      <c r="K216" s="14">
        <v>89</v>
      </c>
      <c r="L216" s="14"/>
      <c r="M216" s="15"/>
      <c r="N216" s="15"/>
      <c r="O216" s="23"/>
      <c r="P216" s="15"/>
      <c r="Q216" s="14"/>
      <c r="R216" s="15"/>
      <c r="S216" s="15"/>
      <c r="T216" s="15"/>
      <c r="U216" s="15"/>
      <c r="V216" s="16">
        <f t="shared" si="4"/>
        <v>89</v>
      </c>
      <c r="W216" s="26" t="e">
        <f>VLOOKUP(B216,REQUISICIÓN!$C$9:$G$509,5,0)</f>
        <v>#N/A</v>
      </c>
      <c r="X216" s="25"/>
      <c r="Y216" s="2"/>
      <c r="Z216" s="73"/>
      <c r="AA216" s="25"/>
    </row>
    <row r="217" spans="2:28" x14ac:dyDescent="0.3">
      <c r="B217" s="2">
        <v>164</v>
      </c>
      <c r="C217" s="68"/>
      <c r="D217" s="71">
        <v>9786</v>
      </c>
      <c r="E217" s="96" t="s">
        <v>203</v>
      </c>
      <c r="F217" s="70" t="e">
        <f>VLOOKUP(B217,REQUISICIÓN!$C$9:$E$125,3,0)</f>
        <v>#N/A</v>
      </c>
      <c r="G217" s="70" t="s">
        <v>4</v>
      </c>
      <c r="H217" s="14">
        <v>0</v>
      </c>
      <c r="I217" s="14"/>
      <c r="J217" s="14">
        <v>0</v>
      </c>
      <c r="K217" s="14">
        <v>191</v>
      </c>
      <c r="L217" s="14"/>
      <c r="M217" s="15">
        <v>0</v>
      </c>
      <c r="N217" s="15"/>
      <c r="O217" s="23">
        <v>0</v>
      </c>
      <c r="P217" s="15">
        <v>0</v>
      </c>
      <c r="Q217" s="14">
        <v>0</v>
      </c>
      <c r="R217" s="15">
        <v>0</v>
      </c>
      <c r="S217" s="15">
        <v>0</v>
      </c>
      <c r="T217" s="15">
        <v>0</v>
      </c>
      <c r="U217" s="15">
        <v>0</v>
      </c>
      <c r="V217" s="16">
        <f t="shared" si="4"/>
        <v>191</v>
      </c>
      <c r="W217" s="26" t="e">
        <f>VLOOKUP(B217,REQUISICIÓN!$C$9:$G$509,5,0)</f>
        <v>#N/A</v>
      </c>
      <c r="X217" s="2"/>
      <c r="Y217" s="2"/>
      <c r="Z217" s="25"/>
      <c r="AA217" s="2"/>
    </row>
    <row r="218" spans="2:28" hidden="1" x14ac:dyDescent="0.3">
      <c r="B218" s="2">
        <v>101</v>
      </c>
      <c r="C218" s="68"/>
      <c r="D218" s="71" t="s">
        <v>272</v>
      </c>
      <c r="E218" s="61" t="s">
        <v>266</v>
      </c>
      <c r="F218" s="70" t="e">
        <f>VLOOKUP(B218,REQUISICIÓN!$C$9:$E$125,3,0)</f>
        <v>#N/A</v>
      </c>
      <c r="G218" s="78" t="s">
        <v>4</v>
      </c>
      <c r="H218" s="14">
        <v>0</v>
      </c>
      <c r="I218" s="14"/>
      <c r="J218" s="14">
        <v>0</v>
      </c>
      <c r="K218" s="14"/>
      <c r="L218" s="14"/>
      <c r="M218" s="15">
        <v>0</v>
      </c>
      <c r="N218" s="15"/>
      <c r="O218" s="23">
        <v>498</v>
      </c>
      <c r="P218" s="15">
        <v>0</v>
      </c>
      <c r="Q218" s="14">
        <v>0</v>
      </c>
      <c r="R218" s="15">
        <v>0</v>
      </c>
      <c r="S218" s="15">
        <v>0</v>
      </c>
      <c r="T218" s="15">
        <v>0</v>
      </c>
      <c r="U218" s="15">
        <v>0</v>
      </c>
      <c r="V218" s="16">
        <f t="shared" si="4"/>
        <v>498</v>
      </c>
      <c r="W218" s="26" t="e">
        <f>VLOOKUP(B218,REQUISICIÓN!$C$9:$G$509,5,0)</f>
        <v>#N/A</v>
      </c>
      <c r="X218" s="25"/>
      <c r="Y218" s="25"/>
      <c r="Z218" s="25"/>
      <c r="AA218" s="25"/>
      <c r="AB218" t="e">
        <f>VLOOKUP(B71,REQUISICIÓN!$C$26:$H51,6,0)</f>
        <v>#N/A</v>
      </c>
    </row>
    <row r="219" spans="2:28" hidden="1" x14ac:dyDescent="0.3">
      <c r="B219" s="2">
        <v>123</v>
      </c>
      <c r="C219" s="68"/>
      <c r="D219" s="71">
        <v>0</v>
      </c>
      <c r="E219" s="61" t="s">
        <v>85</v>
      </c>
      <c r="F219" s="70" t="e">
        <f>VLOOKUP(B219,REQUISICIÓN!$C$9:$E$125,3,0)</f>
        <v>#N/A</v>
      </c>
      <c r="G219" s="78" t="s">
        <v>4</v>
      </c>
      <c r="H219" s="14">
        <v>15.6</v>
      </c>
      <c r="I219" s="14"/>
      <c r="J219" s="14">
        <v>15</v>
      </c>
      <c r="K219" s="14"/>
      <c r="L219" s="14"/>
      <c r="M219" s="15">
        <v>0</v>
      </c>
      <c r="N219" s="15"/>
      <c r="O219" s="23">
        <v>0</v>
      </c>
      <c r="P219" s="15">
        <v>0</v>
      </c>
      <c r="Q219" s="14">
        <v>0</v>
      </c>
      <c r="R219" s="15">
        <v>0</v>
      </c>
      <c r="S219" s="15">
        <v>0</v>
      </c>
      <c r="T219" s="15">
        <v>0</v>
      </c>
      <c r="U219" s="15">
        <v>0</v>
      </c>
      <c r="V219" s="16">
        <f t="shared" si="4"/>
        <v>15</v>
      </c>
      <c r="W219" s="26" t="e">
        <f>VLOOKUP(B219,REQUISICIÓN!$C$9:$G$509,5,0)</f>
        <v>#N/A</v>
      </c>
      <c r="X219" s="25"/>
      <c r="Y219" s="2"/>
      <c r="Z219" s="25"/>
      <c r="AA219" s="25"/>
    </row>
    <row r="220" spans="2:28" x14ac:dyDescent="0.3">
      <c r="B220" s="2">
        <v>18</v>
      </c>
      <c r="C220" s="68"/>
      <c r="D220" s="71" t="s">
        <v>139</v>
      </c>
      <c r="E220" s="96" t="s">
        <v>290</v>
      </c>
      <c r="F220" s="70">
        <f>VLOOKUP(B220,REQUISICIÓN!$C$9:$E$125,3,0)</f>
        <v>1</v>
      </c>
      <c r="G220" s="72" t="s">
        <v>11</v>
      </c>
      <c r="H220" s="14">
        <v>320</v>
      </c>
      <c r="I220" s="14">
        <v>433</v>
      </c>
      <c r="J220" s="14">
        <v>650</v>
      </c>
      <c r="K220" s="14">
        <v>775</v>
      </c>
      <c r="L220" s="14"/>
      <c r="M220" s="15">
        <v>0</v>
      </c>
      <c r="N220" s="15"/>
      <c r="O220" s="23">
        <v>366.3</v>
      </c>
      <c r="P220" s="15">
        <v>0</v>
      </c>
      <c r="Q220" s="14">
        <v>0</v>
      </c>
      <c r="R220" s="15">
        <v>0</v>
      </c>
      <c r="S220" s="15">
        <v>0</v>
      </c>
      <c r="T220" s="15">
        <v>0</v>
      </c>
      <c r="U220" s="15">
        <v>0</v>
      </c>
      <c r="V220" s="16">
        <f t="shared" si="4"/>
        <v>320</v>
      </c>
      <c r="W220" s="26">
        <f>VLOOKUP(B220,REQUISICIÓN!$C$9:$G$509,5,0)</f>
        <v>41</v>
      </c>
      <c r="X220" s="25"/>
      <c r="Y220" s="25"/>
      <c r="Z220" s="25"/>
      <c r="AA220" s="25"/>
      <c r="AB220" s="25"/>
    </row>
    <row r="221" spans="2:28" hidden="1" x14ac:dyDescent="0.3">
      <c r="B221" s="2">
        <v>17</v>
      </c>
      <c r="C221" s="68"/>
      <c r="D221" s="71">
        <v>1683</v>
      </c>
      <c r="E221" s="61" t="s">
        <v>295</v>
      </c>
      <c r="F221" s="70">
        <f>VLOOKUP(B221,REQUISICIÓN!$C$9:$E$125,3,0)</f>
        <v>1</v>
      </c>
      <c r="G221" s="70" t="s">
        <v>9</v>
      </c>
      <c r="H221" s="14">
        <v>1750</v>
      </c>
      <c r="I221" s="14">
        <v>1850.7</v>
      </c>
      <c r="J221" s="14">
        <v>1975</v>
      </c>
      <c r="K221" s="14"/>
      <c r="L221" s="14"/>
      <c r="M221" s="15">
        <v>0</v>
      </c>
      <c r="N221" s="15"/>
      <c r="O221" s="23">
        <v>1440.51</v>
      </c>
      <c r="P221" s="15">
        <v>0</v>
      </c>
      <c r="Q221" s="14">
        <v>0</v>
      </c>
      <c r="R221" s="15">
        <v>0</v>
      </c>
      <c r="S221" s="15">
        <v>0</v>
      </c>
      <c r="T221" s="15">
        <v>0</v>
      </c>
      <c r="U221" s="15">
        <v>0</v>
      </c>
      <c r="V221" s="16">
        <f t="shared" si="4"/>
        <v>1440.51</v>
      </c>
      <c r="W221" s="26">
        <f>VLOOKUP(B221,REQUISICIÓN!$C$9:$G$509,5,0)</f>
        <v>41</v>
      </c>
      <c r="X221" s="25"/>
      <c r="Y221" s="2"/>
      <c r="Z221" s="73"/>
      <c r="AA221" s="25"/>
      <c r="AB221" s="25"/>
    </row>
    <row r="222" spans="2:28" x14ac:dyDescent="0.3">
      <c r="B222" s="2">
        <v>240</v>
      </c>
      <c r="C222" s="68"/>
      <c r="D222" s="71" t="s">
        <v>374</v>
      </c>
      <c r="E222" s="96" t="s">
        <v>373</v>
      </c>
      <c r="F222" s="70" t="e">
        <f>VLOOKUP(B222,REQUISICIÓN!$C$9:$E$125,3,0)</f>
        <v>#N/A</v>
      </c>
      <c r="G222" s="72" t="s">
        <v>11</v>
      </c>
      <c r="H222" s="14"/>
      <c r="I222" s="14"/>
      <c r="J222" s="14"/>
      <c r="K222" s="14">
        <v>787</v>
      </c>
      <c r="L222" s="14"/>
      <c r="M222" s="15"/>
      <c r="N222" s="15"/>
      <c r="O222" s="23"/>
      <c r="P222" s="15"/>
      <c r="Q222" s="14"/>
      <c r="R222" s="15"/>
      <c r="S222" s="15"/>
      <c r="T222" s="15"/>
      <c r="U222" s="15"/>
      <c r="V222" s="16">
        <f t="shared" si="4"/>
        <v>787</v>
      </c>
      <c r="W222" s="26" t="e">
        <f>VLOOKUP(B222,REQUISICIÓN!$C$9:$G$509,5,0)</f>
        <v>#N/A</v>
      </c>
      <c r="X222" s="25"/>
      <c r="Y222" s="2"/>
      <c r="Z222" s="73"/>
      <c r="AA222" s="25"/>
      <c r="AB222" s="161"/>
    </row>
    <row r="223" spans="2:28" x14ac:dyDescent="0.3">
      <c r="B223" s="2">
        <v>89</v>
      </c>
      <c r="C223" s="68"/>
      <c r="D223" s="71">
        <v>3589</v>
      </c>
      <c r="E223" s="96" t="s">
        <v>389</v>
      </c>
      <c r="F223" s="70" t="e">
        <f>VLOOKUP(B223,REQUISICIÓN!$C$9:$E$125,3,0)</f>
        <v>#N/A</v>
      </c>
      <c r="G223" s="70" t="s">
        <v>151</v>
      </c>
      <c r="H223" s="14">
        <v>1733</v>
      </c>
      <c r="I223" s="14"/>
      <c r="J223" s="14">
        <v>2050</v>
      </c>
      <c r="K223" s="14">
        <v>1942</v>
      </c>
      <c r="L223" s="14"/>
      <c r="M223" s="15">
        <v>0</v>
      </c>
      <c r="N223" s="15"/>
      <c r="O223" s="23">
        <v>0</v>
      </c>
      <c r="P223" s="15">
        <v>0</v>
      </c>
      <c r="Q223" s="14">
        <v>0</v>
      </c>
      <c r="R223" s="15">
        <v>0</v>
      </c>
      <c r="S223" s="15">
        <v>0</v>
      </c>
      <c r="T223" s="15">
        <v>0</v>
      </c>
      <c r="U223" s="15">
        <v>0</v>
      </c>
      <c r="V223" s="16">
        <f t="shared" si="4"/>
        <v>1733</v>
      </c>
      <c r="W223" s="26" t="e">
        <f>VLOOKUP(B223,REQUISICIÓN!$C$9:$G$509,5,0)</f>
        <v>#N/A</v>
      </c>
      <c r="X223" s="25"/>
      <c r="Y223" s="25"/>
      <c r="Z223" s="25"/>
      <c r="AA223" s="25"/>
    </row>
    <row r="224" spans="2:28" hidden="1" x14ac:dyDescent="0.3">
      <c r="B224" s="2">
        <v>125</v>
      </c>
      <c r="C224" s="68"/>
      <c r="D224" s="71">
        <v>0</v>
      </c>
      <c r="E224" s="61" t="s">
        <v>88</v>
      </c>
      <c r="F224" s="70" t="e">
        <f>VLOOKUP(B224,REQUISICIÓN!$C$9:$E$125,3,0)</f>
        <v>#N/A</v>
      </c>
      <c r="G224" s="70" t="s">
        <v>4</v>
      </c>
      <c r="H224" s="14">
        <v>0</v>
      </c>
      <c r="I224" s="14"/>
      <c r="J224" s="14">
        <v>0</v>
      </c>
      <c r="K224" s="14"/>
      <c r="L224" s="14"/>
      <c r="M224" s="15">
        <v>0</v>
      </c>
      <c r="N224" s="15"/>
      <c r="O224" s="23">
        <v>0</v>
      </c>
      <c r="P224" s="15">
        <v>0</v>
      </c>
      <c r="Q224" s="14">
        <v>0</v>
      </c>
      <c r="R224" s="15">
        <v>0</v>
      </c>
      <c r="S224" s="15">
        <v>0</v>
      </c>
      <c r="T224" s="15">
        <v>0</v>
      </c>
      <c r="U224" s="15">
        <v>0</v>
      </c>
      <c r="V224" s="16" t="e">
        <f t="shared" si="4"/>
        <v>#NUM!</v>
      </c>
      <c r="W224" s="26" t="e">
        <f>VLOOKUP(B224,REQUISICIÓN!$C$9:$G$509,5,0)</f>
        <v>#N/A</v>
      </c>
      <c r="X224" s="25"/>
      <c r="Y224" s="25"/>
      <c r="Z224" s="25"/>
      <c r="AA224" s="25"/>
    </row>
    <row r="225" spans="2:28" hidden="1" x14ac:dyDescent="0.3">
      <c r="B225" s="81">
        <v>198</v>
      </c>
      <c r="C225" s="82"/>
      <c r="D225" s="71">
        <v>0</v>
      </c>
      <c r="E225" s="61" t="s">
        <v>204</v>
      </c>
      <c r="F225" s="70" t="e">
        <f>VLOOKUP(B225,REQUISICIÓN!$C$9:$E$125,3,0)</f>
        <v>#N/A</v>
      </c>
      <c r="G225" s="70" t="s">
        <v>4</v>
      </c>
      <c r="H225" s="14">
        <v>0</v>
      </c>
      <c r="I225" s="14"/>
      <c r="J225" s="14">
        <v>0</v>
      </c>
      <c r="K225" s="14"/>
      <c r="L225" s="14"/>
      <c r="M225" s="15">
        <v>0</v>
      </c>
      <c r="N225" s="15"/>
      <c r="O225" s="23">
        <v>0</v>
      </c>
      <c r="P225" s="15">
        <v>0</v>
      </c>
      <c r="Q225" s="14">
        <v>0</v>
      </c>
      <c r="R225" s="15">
        <v>0</v>
      </c>
      <c r="S225" s="15">
        <v>0</v>
      </c>
      <c r="T225" s="15">
        <v>0</v>
      </c>
      <c r="U225" s="15">
        <v>0</v>
      </c>
      <c r="V225" s="16" t="e">
        <f t="shared" si="4"/>
        <v>#NUM!</v>
      </c>
      <c r="W225" s="26" t="e">
        <f>VLOOKUP(B225,REQUISICIÓN!$C$9:$G$509,5,0)</f>
        <v>#N/A</v>
      </c>
      <c r="X225" s="2"/>
      <c r="Y225" s="2"/>
      <c r="Z225" s="25"/>
      <c r="AA225" s="2"/>
    </row>
    <row r="226" spans="2:28" hidden="1" x14ac:dyDescent="0.3">
      <c r="B226" s="2">
        <v>121</v>
      </c>
      <c r="C226" s="68"/>
      <c r="D226" s="71">
        <v>0</v>
      </c>
      <c r="E226" s="61" t="s">
        <v>76</v>
      </c>
      <c r="F226" s="70" t="e">
        <f>VLOOKUP(B226,REQUISICIÓN!$C$9:$E$125,3,0)</f>
        <v>#N/A</v>
      </c>
      <c r="G226" s="70" t="e">
        <f>VLOOKUP(B226,REQUISICIÓN!$C$9:$F$12,4,0)</f>
        <v>#N/A</v>
      </c>
      <c r="H226" s="14">
        <v>0</v>
      </c>
      <c r="I226" s="14"/>
      <c r="J226" s="14">
        <v>210</v>
      </c>
      <c r="K226" s="14"/>
      <c r="L226" s="14"/>
      <c r="M226" s="15">
        <v>0</v>
      </c>
      <c r="N226" s="15"/>
      <c r="O226" s="23">
        <v>0</v>
      </c>
      <c r="P226" s="15">
        <v>0</v>
      </c>
      <c r="Q226" s="14">
        <v>0</v>
      </c>
      <c r="R226" s="15">
        <v>0</v>
      </c>
      <c r="S226" s="15">
        <v>0</v>
      </c>
      <c r="T226" s="15">
        <v>0</v>
      </c>
      <c r="U226" s="15">
        <v>0</v>
      </c>
      <c r="V226" s="16">
        <f t="shared" si="4"/>
        <v>210</v>
      </c>
      <c r="W226" s="26" t="e">
        <f>VLOOKUP(B226,REQUISICIÓN!$C$9:$G$509,5,0)</f>
        <v>#N/A</v>
      </c>
      <c r="X226" s="25"/>
      <c r="Y226" s="2"/>
      <c r="Z226" s="73"/>
      <c r="AA226" s="2"/>
    </row>
    <row r="227" spans="2:28" hidden="1" x14ac:dyDescent="0.3">
      <c r="B227" s="81">
        <v>165</v>
      </c>
      <c r="C227" s="68"/>
      <c r="D227" s="71">
        <v>7501128119801</v>
      </c>
      <c r="E227" s="61" t="s">
        <v>205</v>
      </c>
      <c r="F227" s="70" t="e">
        <f>VLOOKUP(B227,REQUISICIÓN!$C$9:$E$125,3,0)</f>
        <v>#N/A</v>
      </c>
      <c r="G227" s="70" t="s">
        <v>9</v>
      </c>
      <c r="H227" s="14">
        <v>0</v>
      </c>
      <c r="I227" s="14"/>
      <c r="J227" s="14">
        <v>0</v>
      </c>
      <c r="K227" s="14"/>
      <c r="L227" s="14"/>
      <c r="M227" s="15">
        <v>0</v>
      </c>
      <c r="N227" s="15"/>
      <c r="O227" s="23">
        <v>0</v>
      </c>
      <c r="P227" s="15">
        <v>0</v>
      </c>
      <c r="Q227" s="14">
        <v>0</v>
      </c>
      <c r="R227" s="15">
        <v>0</v>
      </c>
      <c r="S227" s="15">
        <v>0</v>
      </c>
      <c r="T227" s="15">
        <v>0</v>
      </c>
      <c r="U227" s="15">
        <v>0</v>
      </c>
      <c r="V227" s="16" t="e">
        <f t="shared" si="4"/>
        <v>#NUM!</v>
      </c>
      <c r="W227" s="26" t="e">
        <f>VLOOKUP(B227,REQUISICIÓN!$C$9:$G$509,5,0)</f>
        <v>#N/A</v>
      </c>
      <c r="X227" s="2"/>
      <c r="Y227" s="2"/>
      <c r="Z227" s="25"/>
      <c r="AA227" s="2"/>
    </row>
    <row r="228" spans="2:28" hidden="1" x14ac:dyDescent="0.3">
      <c r="B228" s="81">
        <v>220</v>
      </c>
      <c r="C228" s="68"/>
      <c r="D228" s="71">
        <v>6818</v>
      </c>
      <c r="E228" s="61" t="s">
        <v>324</v>
      </c>
      <c r="F228" s="70" t="e">
        <f>VLOOKUP(B228,REQUISICIÓN!$C$9:$E$125,3,0)</f>
        <v>#N/A</v>
      </c>
      <c r="G228" s="70" t="s">
        <v>323</v>
      </c>
      <c r="H228" s="14">
        <v>130</v>
      </c>
      <c r="I228" s="14"/>
      <c r="J228" s="14">
        <v>0</v>
      </c>
      <c r="K228" s="14"/>
      <c r="L228" s="14"/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6">
        <f t="shared" si="4"/>
        <v>130</v>
      </c>
      <c r="W228" s="26" t="e">
        <f>VLOOKUP(B228,REQUISICIÓN!$C$9:$G$509,5,0)</f>
        <v>#N/A</v>
      </c>
      <c r="X228" s="2"/>
      <c r="Y228" s="2"/>
      <c r="Z228" s="25"/>
      <c r="AA228" s="2"/>
    </row>
    <row r="229" spans="2:28" ht="13.8" hidden="1" customHeight="1" x14ac:dyDescent="0.3">
      <c r="B229" s="81">
        <v>39</v>
      </c>
      <c r="C229" s="68"/>
      <c r="D229" s="71">
        <v>326899</v>
      </c>
      <c r="E229" s="61" t="s">
        <v>267</v>
      </c>
      <c r="F229" s="70">
        <f>VLOOKUP(B229,REQUISICIÓN!$C$9:$E$125,3,0)</f>
        <v>3</v>
      </c>
      <c r="G229" s="70" t="s">
        <v>9</v>
      </c>
      <c r="H229" s="14">
        <v>108.9</v>
      </c>
      <c r="I229" s="14">
        <v>111</v>
      </c>
      <c r="J229" s="14"/>
      <c r="K229" s="14"/>
      <c r="L229" s="14"/>
      <c r="M229" s="15">
        <v>142.30770000000001</v>
      </c>
      <c r="N229" s="15">
        <v>59.49</v>
      </c>
      <c r="O229" s="23">
        <v>0</v>
      </c>
      <c r="P229" s="15">
        <v>0</v>
      </c>
      <c r="Q229" s="14">
        <v>0</v>
      </c>
      <c r="R229" s="15">
        <v>0</v>
      </c>
      <c r="S229" s="15">
        <v>0</v>
      </c>
      <c r="T229" s="15">
        <v>0</v>
      </c>
      <c r="U229" s="15">
        <v>0</v>
      </c>
      <c r="V229" s="16">
        <f t="shared" si="4"/>
        <v>59.49</v>
      </c>
      <c r="W229" s="26">
        <f>VLOOKUP(B229,REQUISICIÓN!$C$9:$G$509,5,0)</f>
        <v>41</v>
      </c>
      <c r="X229" s="25"/>
      <c r="Y229" s="2"/>
      <c r="Z229" s="73"/>
      <c r="AA229" s="25"/>
      <c r="AB229" s="25" t="e">
        <f>VLOOKUP(B81,REQUISICIÓN!$C$26:$H57,6,0)</f>
        <v>#N/A</v>
      </c>
    </row>
    <row r="230" spans="2:28" hidden="1" x14ac:dyDescent="0.3">
      <c r="B230" s="81">
        <v>225</v>
      </c>
      <c r="C230" s="68"/>
      <c r="D230" s="71"/>
      <c r="E230" s="61" t="s">
        <v>349</v>
      </c>
      <c r="F230" s="70" t="e">
        <f>VLOOKUP(B230,REQUISICIÓN!$C$9:$E$125,3,0)</f>
        <v>#N/A</v>
      </c>
      <c r="G230" s="70" t="s">
        <v>9</v>
      </c>
      <c r="H230" s="14"/>
      <c r="I230" s="14"/>
      <c r="J230" s="14"/>
      <c r="K230" s="14"/>
      <c r="L230" s="14"/>
      <c r="M230" s="15"/>
      <c r="N230" s="15"/>
      <c r="O230" s="23"/>
      <c r="P230" s="15">
        <v>74.37</v>
      </c>
      <c r="Q230" s="14"/>
      <c r="R230" s="15"/>
      <c r="S230" s="15"/>
      <c r="T230" s="15"/>
      <c r="U230" s="15"/>
      <c r="V230" s="16">
        <f t="shared" si="4"/>
        <v>74.37</v>
      </c>
      <c r="W230" s="26" t="e">
        <f>VLOOKUP(B230,REQUISICIÓN!$C$9:$G$509,5,0)</f>
        <v>#N/A</v>
      </c>
      <c r="X230" s="25"/>
      <c r="Y230" s="2"/>
      <c r="Z230" s="73"/>
      <c r="AA230" s="25"/>
      <c r="AB230" s="76"/>
    </row>
    <row r="231" spans="2:28" x14ac:dyDescent="0.3">
      <c r="B231" s="81">
        <v>241</v>
      </c>
      <c r="C231" s="68"/>
      <c r="D231" s="71">
        <v>7502275702137</v>
      </c>
      <c r="E231" s="96" t="s">
        <v>375</v>
      </c>
      <c r="F231" s="70" t="e">
        <f>VLOOKUP(B231,REQUISICIÓN!$C$9:$E$125,3,0)</f>
        <v>#N/A</v>
      </c>
      <c r="G231" s="70" t="s">
        <v>9</v>
      </c>
      <c r="H231" s="14"/>
      <c r="I231" s="14"/>
      <c r="J231" s="14"/>
      <c r="K231" s="14">
        <v>110</v>
      </c>
      <c r="L231" s="14"/>
      <c r="M231" s="15"/>
      <c r="N231" s="15"/>
      <c r="O231" s="23"/>
      <c r="P231" s="15"/>
      <c r="Q231" s="14"/>
      <c r="R231" s="15"/>
      <c r="S231" s="15"/>
      <c r="T231" s="15"/>
      <c r="U231" s="15"/>
      <c r="V231" s="16">
        <f t="shared" si="4"/>
        <v>110</v>
      </c>
      <c r="W231" s="26" t="e">
        <f>VLOOKUP(B231,REQUISICIÓN!$C$9:$G$509,5,0)</f>
        <v>#N/A</v>
      </c>
      <c r="X231" s="25"/>
      <c r="Y231" s="2"/>
      <c r="Z231" s="73"/>
      <c r="AA231" s="25"/>
      <c r="AB231" s="76"/>
    </row>
    <row r="232" spans="2:28" hidden="1" x14ac:dyDescent="0.3">
      <c r="B232" s="81">
        <v>67</v>
      </c>
      <c r="C232" s="68"/>
      <c r="D232" s="71">
        <v>7917</v>
      </c>
      <c r="E232" s="61" t="s">
        <v>63</v>
      </c>
      <c r="F232" s="70" t="e">
        <f>VLOOKUP(B232,REQUISICIÓN!$C$9:$E$125,3,0)</f>
        <v>#N/A</v>
      </c>
      <c r="G232" s="70" t="s">
        <v>11</v>
      </c>
      <c r="H232" s="14">
        <v>710</v>
      </c>
      <c r="I232" s="14"/>
      <c r="J232" s="14">
        <v>900</v>
      </c>
      <c r="K232" s="14"/>
      <c r="L232" s="14"/>
      <c r="M232" s="15">
        <v>0</v>
      </c>
      <c r="N232" s="15">
        <v>0</v>
      </c>
      <c r="O232" s="23">
        <v>0</v>
      </c>
      <c r="P232" s="15">
        <v>0</v>
      </c>
      <c r="Q232" s="14">
        <v>0</v>
      </c>
      <c r="R232" s="15">
        <v>0</v>
      </c>
      <c r="S232" s="15">
        <v>0</v>
      </c>
      <c r="T232" s="15">
        <v>0</v>
      </c>
      <c r="U232" s="15">
        <v>0</v>
      </c>
      <c r="V232" s="16">
        <f t="shared" si="4"/>
        <v>710</v>
      </c>
      <c r="W232" s="26" t="e">
        <f>VLOOKUP(B232,REQUISICIÓN!$C$9:$G$509,5,0)</f>
        <v>#N/A</v>
      </c>
      <c r="X232" s="25"/>
      <c r="Y232" s="2"/>
      <c r="Z232" s="73"/>
      <c r="AA232" s="25"/>
      <c r="AB232" s="76"/>
    </row>
    <row r="233" spans="2:28" hidden="1" x14ac:dyDescent="0.3">
      <c r="B233" s="81">
        <v>166</v>
      </c>
      <c r="C233" s="82"/>
      <c r="D233" s="71" t="s">
        <v>206</v>
      </c>
      <c r="E233" s="61" t="s">
        <v>207</v>
      </c>
      <c r="F233" s="70" t="e">
        <f>VLOOKUP(B233,REQUISICIÓN!$C$9:$E$125,3,0)</f>
        <v>#N/A</v>
      </c>
      <c r="G233" s="77" t="s">
        <v>192</v>
      </c>
      <c r="H233" s="14">
        <v>0</v>
      </c>
      <c r="I233" s="14"/>
      <c r="J233" s="14">
        <v>0</v>
      </c>
      <c r="K233" s="14"/>
      <c r="L233" s="14"/>
      <c r="M233" s="15">
        <v>0</v>
      </c>
      <c r="N233" s="15"/>
      <c r="O233" s="23">
        <v>0</v>
      </c>
      <c r="P233" s="15">
        <v>0</v>
      </c>
      <c r="Q233" s="14">
        <v>0</v>
      </c>
      <c r="R233" s="15">
        <v>0</v>
      </c>
      <c r="S233" s="15">
        <v>0</v>
      </c>
      <c r="T233" s="15">
        <v>0</v>
      </c>
      <c r="U233" s="15">
        <v>0</v>
      </c>
      <c r="V233" s="16" t="e">
        <f t="shared" si="4"/>
        <v>#NUM!</v>
      </c>
      <c r="W233" s="26" t="e">
        <f>VLOOKUP(B233,REQUISICIÓN!$C$9:$G$509,5,0)</f>
        <v>#N/A</v>
      </c>
      <c r="X233" s="2"/>
      <c r="Y233" s="2"/>
      <c r="Z233" s="25"/>
      <c r="AA233" s="2"/>
    </row>
    <row r="234" spans="2:28" x14ac:dyDescent="0.3">
      <c r="B234" s="81">
        <v>244</v>
      </c>
      <c r="C234" s="82"/>
      <c r="D234" s="71" t="s">
        <v>379</v>
      </c>
      <c r="E234" s="96" t="s">
        <v>378</v>
      </c>
      <c r="F234" s="70" t="e">
        <f>VLOOKUP(B234,REQUISICIÓN!$C$9:$E$125,3,0)</f>
        <v>#N/A</v>
      </c>
      <c r="G234" s="72" t="s">
        <v>4</v>
      </c>
      <c r="H234" s="14"/>
      <c r="I234" s="14"/>
      <c r="J234" s="14"/>
      <c r="K234" s="14">
        <v>70</v>
      </c>
      <c r="L234" s="14"/>
      <c r="M234" s="15"/>
      <c r="N234" s="15"/>
      <c r="O234" s="23"/>
      <c r="P234" s="15"/>
      <c r="Q234" s="14"/>
      <c r="R234" s="15"/>
      <c r="S234" s="15"/>
      <c r="T234" s="15"/>
      <c r="U234" s="15"/>
      <c r="V234" s="16">
        <f t="shared" si="4"/>
        <v>70</v>
      </c>
      <c r="W234" s="26" t="e">
        <f>VLOOKUP(B234,REQUISICIÓN!$C$9:$G$509,5,0)</f>
        <v>#N/A</v>
      </c>
      <c r="X234" s="2"/>
      <c r="Y234" s="2"/>
      <c r="Z234" s="25"/>
      <c r="AA234" s="2"/>
    </row>
    <row r="235" spans="2:28" hidden="1" x14ac:dyDescent="0.3">
      <c r="B235" s="2">
        <v>68</v>
      </c>
      <c r="C235" s="68"/>
      <c r="D235" s="71" t="s">
        <v>122</v>
      </c>
      <c r="E235" s="61" t="s">
        <v>18</v>
      </c>
      <c r="F235" s="70" t="e">
        <f>VLOOKUP(B235,REQUISICIÓN!$C$9:$E$125,3,0)</f>
        <v>#N/A</v>
      </c>
      <c r="G235" s="72" t="s">
        <v>4</v>
      </c>
      <c r="H235" s="14">
        <v>9.4</v>
      </c>
      <c r="I235" s="14"/>
      <c r="J235" s="14">
        <f>35/3</f>
        <v>11.666666666666666</v>
      </c>
      <c r="K235" s="14"/>
      <c r="L235" s="14"/>
      <c r="M235" s="15">
        <v>0</v>
      </c>
      <c r="N235" s="15">
        <v>350.49</v>
      </c>
      <c r="O235" s="23">
        <v>0</v>
      </c>
      <c r="P235" s="15">
        <v>0</v>
      </c>
      <c r="Q235" s="14">
        <v>0</v>
      </c>
      <c r="R235" s="15">
        <v>0</v>
      </c>
      <c r="S235" s="15">
        <v>0</v>
      </c>
      <c r="T235" s="15">
        <v>0</v>
      </c>
      <c r="U235" s="15">
        <v>0</v>
      </c>
      <c r="V235" s="16">
        <f t="shared" si="4"/>
        <v>9.4</v>
      </c>
      <c r="W235" s="26" t="e">
        <f>VLOOKUP(B235,REQUISICIÓN!$C$9:$G$509,5,0)</f>
        <v>#N/A</v>
      </c>
      <c r="X235" s="25"/>
      <c r="Y235" s="25"/>
      <c r="Z235" s="25"/>
      <c r="AA235" s="25"/>
      <c r="AB235" s="25"/>
    </row>
    <row r="236" spans="2:28" hidden="1" x14ac:dyDescent="0.3">
      <c r="B236" s="81">
        <v>55</v>
      </c>
      <c r="C236" s="82"/>
      <c r="D236" s="71">
        <v>15272</v>
      </c>
      <c r="E236" s="61" t="s">
        <v>16</v>
      </c>
      <c r="F236" s="70" t="e">
        <f>VLOOKUP(B236,REQUISICIÓN!$C$9:$E$125,3,0)</f>
        <v>#N/A</v>
      </c>
      <c r="G236" s="77" t="s">
        <v>91</v>
      </c>
      <c r="H236" s="14">
        <v>201</v>
      </c>
      <c r="I236" s="14"/>
      <c r="J236" s="14">
        <v>275</v>
      </c>
      <c r="K236" s="14"/>
      <c r="L236" s="14"/>
      <c r="M236" s="15">
        <v>0</v>
      </c>
      <c r="N236" s="15"/>
      <c r="O236" s="14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6">
        <f t="shared" si="4"/>
        <v>201</v>
      </c>
      <c r="W236" s="26" t="e">
        <f>VLOOKUP(B236,REQUISICIÓN!$C$9:$G$509,5,0)</f>
        <v>#N/A</v>
      </c>
      <c r="X236" s="25"/>
      <c r="Y236" s="2"/>
      <c r="Z236" s="73"/>
      <c r="AA236" s="25"/>
    </row>
    <row r="237" spans="2:28" hidden="1" x14ac:dyDescent="0.3">
      <c r="B237" s="81">
        <v>138</v>
      </c>
      <c r="C237" s="82"/>
      <c r="D237" s="71">
        <v>0</v>
      </c>
      <c r="E237" s="61" t="s">
        <v>119</v>
      </c>
      <c r="F237" s="70" t="e">
        <f>VLOOKUP(B237,REQUISICIÓN!$C$9:$E$125,3,0)</f>
        <v>#N/A</v>
      </c>
      <c r="G237" s="77" t="s">
        <v>4</v>
      </c>
      <c r="H237" s="14">
        <v>0</v>
      </c>
      <c r="I237" s="14"/>
      <c r="J237" s="15">
        <v>0</v>
      </c>
      <c r="K237" s="15"/>
      <c r="L237" s="15"/>
      <c r="M237" s="14">
        <v>7.69</v>
      </c>
      <c r="N237" s="14"/>
      <c r="O237" s="14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6">
        <f t="shared" si="4"/>
        <v>7.69</v>
      </c>
      <c r="W237" s="26" t="e">
        <f>VLOOKUP(B237,REQUISICIÓN!$C$9:$G$509,5,0)</f>
        <v>#N/A</v>
      </c>
      <c r="X237" s="25"/>
      <c r="Y237" s="25"/>
      <c r="Z237" s="25"/>
      <c r="AA237" s="25"/>
    </row>
    <row r="238" spans="2:28" hidden="1" x14ac:dyDescent="0.3">
      <c r="B238" s="2">
        <v>199</v>
      </c>
      <c r="C238" s="68"/>
      <c r="D238" s="71">
        <v>0</v>
      </c>
      <c r="E238" s="61" t="s">
        <v>208</v>
      </c>
      <c r="F238" s="70" t="e">
        <f>VLOOKUP(B238,REQUISICIÓN!$C$9:$E$125,3,0)</f>
        <v>#N/A</v>
      </c>
      <c r="G238" s="77" t="s">
        <v>4</v>
      </c>
      <c r="H238" s="14">
        <v>0</v>
      </c>
      <c r="I238" s="14"/>
      <c r="J238" s="15">
        <v>0</v>
      </c>
      <c r="K238" s="15"/>
      <c r="L238" s="15"/>
      <c r="M238" s="15">
        <v>0</v>
      </c>
      <c r="N238" s="15"/>
      <c r="O238" s="14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6" t="e">
        <f t="shared" si="4"/>
        <v>#NUM!</v>
      </c>
      <c r="W238" s="26" t="e">
        <f>VLOOKUP(B238,REQUISICIÓN!$C$9:$G$509,5,0)</f>
        <v>#N/A</v>
      </c>
      <c r="X238" s="2"/>
      <c r="Y238" s="2"/>
      <c r="Z238" s="25"/>
      <c r="AA238" s="2"/>
    </row>
    <row r="239" spans="2:28" hidden="1" x14ac:dyDescent="0.3">
      <c r="B239" s="81">
        <v>91</v>
      </c>
      <c r="C239" s="82"/>
      <c r="D239" s="71">
        <v>0</v>
      </c>
      <c r="E239" s="61" t="s">
        <v>316</v>
      </c>
      <c r="F239" s="70" t="e">
        <f>VLOOKUP(B239,REQUISICIÓN!$C$9:$E$125,3,0)</f>
        <v>#N/A</v>
      </c>
      <c r="G239" s="78" t="s">
        <v>4</v>
      </c>
      <c r="H239" s="15">
        <v>8.6</v>
      </c>
      <c r="I239" s="15"/>
      <c r="J239" s="15">
        <f>120.17/12</f>
        <v>10.014166666666666</v>
      </c>
      <c r="K239" s="15"/>
      <c r="L239" s="15"/>
      <c r="M239" s="15">
        <v>0</v>
      </c>
      <c r="N239" s="15"/>
      <c r="O239" s="15">
        <f>82.87/12</f>
        <v>6.9058333333333337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6">
        <f t="shared" si="4"/>
        <v>6.9058333333333337</v>
      </c>
      <c r="W239" s="26" t="e">
        <f>VLOOKUP(B239,REQUISICIÓN!$C$9:$G$509,5,0)</f>
        <v>#N/A</v>
      </c>
      <c r="X239" s="25"/>
      <c r="Y239" s="25"/>
      <c r="Z239" s="25"/>
      <c r="AA239" s="25"/>
    </row>
    <row r="240" spans="2:28" x14ac:dyDescent="0.3">
      <c r="B240" s="81">
        <v>250</v>
      </c>
      <c r="C240" s="71">
        <v>7501048695607</v>
      </c>
      <c r="D240" s="71"/>
      <c r="E240" s="96" t="s">
        <v>384</v>
      </c>
      <c r="F240" s="70" t="e">
        <f>VLOOKUP(B240,REQUISICIÓN!$C$9:$E$125,3,0)</f>
        <v>#N/A</v>
      </c>
      <c r="G240" s="78" t="s">
        <v>4</v>
      </c>
      <c r="H240" s="15"/>
      <c r="I240" s="15"/>
      <c r="J240" s="15"/>
      <c r="K240" s="15">
        <v>7.8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6">
        <f t="shared" si="4"/>
        <v>7.8</v>
      </c>
      <c r="W240" s="26" t="e">
        <f>VLOOKUP(B240,REQUISICIÓN!$C$9:$G$509,5,0)</f>
        <v>#N/A</v>
      </c>
      <c r="X240" s="25"/>
      <c r="Y240" s="25"/>
      <c r="Z240" s="25"/>
      <c r="AA240" s="25"/>
    </row>
    <row r="241" spans="2:28" hidden="1" x14ac:dyDescent="0.3">
      <c r="B241" s="81">
        <v>90</v>
      </c>
      <c r="C241" s="68"/>
      <c r="D241" s="71">
        <v>0</v>
      </c>
      <c r="E241" s="61" t="s">
        <v>317</v>
      </c>
      <c r="F241" s="70" t="e">
        <f>VLOOKUP(B241,REQUISICIÓN!$C$9:$E$125,3,0)</f>
        <v>#N/A</v>
      </c>
      <c r="G241" s="70" t="s">
        <v>4</v>
      </c>
      <c r="H241" s="15">
        <v>22.9</v>
      </c>
      <c r="I241" s="15"/>
      <c r="J241" s="15">
        <v>267.3</v>
      </c>
      <c r="K241" s="15"/>
      <c r="L241" s="15"/>
      <c r="M241" s="15">
        <v>0</v>
      </c>
      <c r="N241" s="15"/>
      <c r="O241" s="15">
        <f>221.89/12</f>
        <v>18.490833333333331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6">
        <f t="shared" si="4"/>
        <v>18.490833333333331</v>
      </c>
      <c r="W241" s="26" t="e">
        <f>VLOOKUP(B241,REQUISICIÓN!$C$9:$G$509,5,0)</f>
        <v>#N/A</v>
      </c>
      <c r="X241" s="25"/>
      <c r="Y241" s="25"/>
      <c r="Z241" s="25"/>
      <c r="AA241" s="25"/>
    </row>
    <row r="242" spans="2:28" x14ac:dyDescent="0.3">
      <c r="B242" s="81">
        <v>249</v>
      </c>
      <c r="C242" s="71">
        <v>7501048696802</v>
      </c>
      <c r="D242" s="71"/>
      <c r="E242" s="96" t="s">
        <v>383</v>
      </c>
      <c r="F242" s="70" t="e">
        <f>VLOOKUP(B242,REQUISICIÓN!$C$9:$E$125,3,0)</f>
        <v>#N/A</v>
      </c>
      <c r="G242" s="70" t="s">
        <v>4</v>
      </c>
      <c r="H242" s="15"/>
      <c r="I242" s="15"/>
      <c r="J242" s="15"/>
      <c r="K242" s="15">
        <v>21.5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6">
        <f t="shared" si="4"/>
        <v>21.5</v>
      </c>
      <c r="W242" s="26" t="e">
        <f>VLOOKUP(B242,REQUISICIÓN!$C$9:$G$509,5,0)</f>
        <v>#N/A</v>
      </c>
      <c r="X242" s="25"/>
      <c r="Y242" s="25"/>
      <c r="Z242" s="25"/>
      <c r="AA242" s="25"/>
    </row>
    <row r="243" spans="2:28" hidden="1" x14ac:dyDescent="0.3">
      <c r="B243" s="2">
        <v>92</v>
      </c>
      <c r="C243" s="68"/>
      <c r="D243" s="71">
        <v>0</v>
      </c>
      <c r="E243" s="61" t="s">
        <v>318</v>
      </c>
      <c r="F243" s="70" t="e">
        <f>VLOOKUP(B243,REQUISICIÓN!$C$9:$E$125,3,0)</f>
        <v>#N/A</v>
      </c>
      <c r="G243" s="70" t="s">
        <v>4</v>
      </c>
      <c r="H243" s="15">
        <v>4.5999999999999996</v>
      </c>
      <c r="I243" s="15"/>
      <c r="J243" s="15">
        <f>62.92/12</f>
        <v>5.2433333333333332</v>
      </c>
      <c r="K243" s="15"/>
      <c r="L243" s="15"/>
      <c r="M243" s="15">
        <v>0</v>
      </c>
      <c r="N243" s="15">
        <v>0</v>
      </c>
      <c r="O243" s="15">
        <f>48.29/12</f>
        <v>4.0241666666666669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6">
        <f t="shared" si="4"/>
        <v>4.0241666666666669</v>
      </c>
      <c r="W243" s="26" t="e">
        <f>VLOOKUP(B243,REQUISICIÓN!$C$9:$G$509,5,0)</f>
        <v>#N/A</v>
      </c>
      <c r="X243" s="25"/>
      <c r="Y243" s="25"/>
      <c r="Z243" s="25"/>
      <c r="AA243" s="25"/>
    </row>
    <row r="244" spans="2:28" x14ac:dyDescent="0.3">
      <c r="B244" s="2">
        <v>251</v>
      </c>
      <c r="C244" s="71">
        <v>7501048695003</v>
      </c>
      <c r="D244" s="71"/>
      <c r="E244" s="96" t="s">
        <v>385</v>
      </c>
      <c r="F244" s="70" t="e">
        <f>VLOOKUP(B244,REQUISICIÓN!$C$9:$E$125,3,0)</f>
        <v>#N/A</v>
      </c>
      <c r="G244" s="70" t="s">
        <v>4</v>
      </c>
      <c r="H244" s="15"/>
      <c r="I244" s="15"/>
      <c r="J244" s="15"/>
      <c r="K244" s="15">
        <v>4.5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6">
        <f t="shared" si="4"/>
        <v>4.5</v>
      </c>
      <c r="W244" s="26" t="e">
        <f>VLOOKUP(B244,REQUISICIÓN!$C$9:$G$509,5,0)</f>
        <v>#N/A</v>
      </c>
      <c r="X244" s="25"/>
      <c r="Y244" s="25"/>
      <c r="Z244" s="25"/>
      <c r="AA244" s="25"/>
    </row>
    <row r="245" spans="2:28" hidden="1" x14ac:dyDescent="0.3">
      <c r="B245" s="2">
        <v>217</v>
      </c>
      <c r="C245" s="68"/>
      <c r="D245" s="71"/>
      <c r="E245" s="61" t="s">
        <v>319</v>
      </c>
      <c r="F245" s="70" t="e">
        <f>VLOOKUP(B245,REQUISICIÓN!$C$9:$E$125,3,0)</f>
        <v>#N/A</v>
      </c>
      <c r="G245" s="70" t="s">
        <v>322</v>
      </c>
      <c r="H245" s="15">
        <v>4.5999999999999996</v>
      </c>
      <c r="I245" s="15"/>
      <c r="J245" s="15">
        <v>0</v>
      </c>
      <c r="K245" s="15"/>
      <c r="L245" s="15"/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6">
        <f t="shared" si="4"/>
        <v>4.5999999999999996</v>
      </c>
      <c r="W245" s="26" t="e">
        <f>VLOOKUP(B245,REQUISICIÓN!$C$9:$G$509,5,0)</f>
        <v>#N/A</v>
      </c>
      <c r="X245" s="25"/>
      <c r="Y245" s="25"/>
      <c r="Z245" s="25"/>
      <c r="AA245" s="25"/>
    </row>
    <row r="246" spans="2:28" hidden="1" x14ac:dyDescent="0.3">
      <c r="B246" s="2">
        <v>218</v>
      </c>
      <c r="C246" s="68"/>
      <c r="D246" s="71"/>
      <c r="E246" s="61" t="s">
        <v>320</v>
      </c>
      <c r="F246" s="70" t="e">
        <f>VLOOKUP(B246,REQUISICIÓN!$C$9:$E$125,3,0)</f>
        <v>#N/A</v>
      </c>
      <c r="G246" s="70" t="s">
        <v>4</v>
      </c>
      <c r="H246" s="15">
        <v>0</v>
      </c>
      <c r="I246" s="15"/>
      <c r="J246" s="15">
        <v>0</v>
      </c>
      <c r="K246" s="15"/>
      <c r="L246" s="15"/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6" t="e">
        <f t="shared" si="4"/>
        <v>#NUM!</v>
      </c>
      <c r="W246" s="26" t="e">
        <f>VLOOKUP(B246,REQUISICIÓN!$C$9:$G$509,5,0)</f>
        <v>#N/A</v>
      </c>
      <c r="X246" s="25"/>
      <c r="Y246" s="25"/>
      <c r="Z246" s="25"/>
      <c r="AA246" s="25"/>
    </row>
    <row r="247" spans="2:28" hidden="1" x14ac:dyDescent="0.3">
      <c r="B247" s="2">
        <v>219</v>
      </c>
      <c r="C247" s="68"/>
      <c r="E247" s="61" t="s">
        <v>321</v>
      </c>
      <c r="F247" s="70" t="e">
        <f>VLOOKUP(B247,REQUISICIÓN!$C$9:$E$125,3,0)</f>
        <v>#N/A</v>
      </c>
      <c r="G247" s="70" t="s">
        <v>4</v>
      </c>
      <c r="H247" s="15">
        <v>0</v>
      </c>
      <c r="I247" s="15"/>
      <c r="J247" s="15">
        <v>0</v>
      </c>
      <c r="K247" s="15"/>
      <c r="L247" s="15"/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6" t="e">
        <f t="shared" si="4"/>
        <v>#NUM!</v>
      </c>
      <c r="W247" s="26" t="e">
        <f>VLOOKUP(B247,REQUISICIÓN!$C$9:$G$509,5,0)</f>
        <v>#N/A</v>
      </c>
      <c r="X247" s="25"/>
      <c r="Y247" s="25"/>
      <c r="Z247" s="25"/>
      <c r="AA247" s="25"/>
    </row>
    <row r="248" spans="2:28" hidden="1" x14ac:dyDescent="0.3">
      <c r="B248" s="2">
        <v>221</v>
      </c>
      <c r="C248" s="68"/>
      <c r="D248" s="71">
        <v>1682</v>
      </c>
      <c r="E248" s="61" t="s">
        <v>325</v>
      </c>
      <c r="F248" s="70"/>
      <c r="G248" s="70" t="s">
        <v>4</v>
      </c>
      <c r="H248" s="15">
        <v>66.3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6">
        <f t="shared" si="4"/>
        <v>66.3</v>
      </c>
      <c r="W248" s="26" t="e">
        <f>VLOOKUP(B248,REQUISICIÓN!$C$9:$G$509,5,0)</f>
        <v>#N/A</v>
      </c>
      <c r="X248" s="25"/>
      <c r="Y248" s="25"/>
      <c r="Z248" s="25"/>
      <c r="AA248" s="25"/>
    </row>
    <row r="249" spans="2:28" hidden="1" x14ac:dyDescent="0.3">
      <c r="B249" s="2">
        <v>153</v>
      </c>
      <c r="C249" s="68"/>
      <c r="D249" s="69">
        <v>0</v>
      </c>
      <c r="E249" s="61" t="s">
        <v>181</v>
      </c>
      <c r="F249" s="70" t="e">
        <f>VLOOKUP(B249,REQUISICIÓN!$C$9:$F$12,3,0)</f>
        <v>#N/A</v>
      </c>
      <c r="G249" s="70" t="s">
        <v>9</v>
      </c>
      <c r="H249" s="14">
        <v>0</v>
      </c>
      <c r="I249" s="14"/>
      <c r="J249" s="15">
        <v>0</v>
      </c>
      <c r="K249" s="15"/>
      <c r="L249" s="15"/>
      <c r="M249" s="15">
        <v>0</v>
      </c>
      <c r="N249" s="15"/>
      <c r="O249" s="14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6" t="e">
        <f t="shared" si="4"/>
        <v>#NUM!</v>
      </c>
      <c r="W249" s="26" t="e">
        <f>VLOOKUP(B249,REQUISICIÓN!$C$9:$G$509,5,0)</f>
        <v>#N/A</v>
      </c>
      <c r="X249" s="2"/>
      <c r="Y249" s="2"/>
      <c r="Z249" s="25"/>
      <c r="AA249" s="2"/>
    </row>
    <row r="250" spans="2:28" s="158" customFormat="1" hidden="1" x14ac:dyDescent="0.3">
      <c r="B250" s="150">
        <v>214</v>
      </c>
      <c r="C250" s="151"/>
      <c r="D250" s="152"/>
      <c r="E250" s="153" t="s">
        <v>308</v>
      </c>
      <c r="F250" s="154">
        <f>VLOOKUP(B250,REQUISICIÓN!$C$9:$E$125,3,0)</f>
        <v>2</v>
      </c>
      <c r="G250" s="154" t="s">
        <v>4</v>
      </c>
      <c r="H250" s="14">
        <v>0</v>
      </c>
      <c r="I250" s="14">
        <v>0</v>
      </c>
      <c r="J250" s="23">
        <v>0</v>
      </c>
      <c r="K250" s="23"/>
      <c r="L250" s="23"/>
      <c r="M250" s="23">
        <v>0</v>
      </c>
      <c r="N250" s="23">
        <v>0</v>
      </c>
      <c r="O250" s="23">
        <v>0</v>
      </c>
      <c r="P250" s="23">
        <v>0</v>
      </c>
      <c r="Q250" s="14">
        <v>0</v>
      </c>
      <c r="R250" s="14">
        <v>0</v>
      </c>
      <c r="S250" s="14">
        <v>0</v>
      </c>
      <c r="T250" s="14">
        <v>0</v>
      </c>
      <c r="U250" s="15">
        <v>1214.03</v>
      </c>
      <c r="V250" s="16">
        <f t="shared" si="4"/>
        <v>1214.03</v>
      </c>
      <c r="W250" s="26">
        <f>VLOOKUP(B250,REQUISICIÓN!$C$9:$G$509,5,0)</f>
        <v>41</v>
      </c>
      <c r="X250" s="150"/>
      <c r="Y250" s="150"/>
      <c r="Z250" s="156"/>
      <c r="AA250" s="150"/>
      <c r="AB250" s="156"/>
    </row>
    <row r="251" spans="2:28" s="158" customFormat="1" x14ac:dyDescent="0.3">
      <c r="B251" s="150">
        <v>245</v>
      </c>
      <c r="C251" s="151"/>
      <c r="D251" s="152"/>
      <c r="E251" s="96" t="s">
        <v>380</v>
      </c>
      <c r="F251" s="70" t="e">
        <f>VLOOKUP(B251,REQUISICIÓN!$C$9:$E$125,3,0)</f>
        <v>#N/A</v>
      </c>
      <c r="G251" s="70" t="s">
        <v>4</v>
      </c>
      <c r="H251" s="14"/>
      <c r="I251" s="14"/>
      <c r="J251" s="23"/>
      <c r="K251" s="23">
        <v>89</v>
      </c>
      <c r="L251" s="23"/>
      <c r="M251" s="23"/>
      <c r="N251" s="23"/>
      <c r="O251" s="23"/>
      <c r="P251" s="23"/>
      <c r="Q251" s="14"/>
      <c r="R251" s="14"/>
      <c r="S251" s="14"/>
      <c r="T251" s="14"/>
      <c r="U251" s="15"/>
      <c r="V251" s="16">
        <f t="shared" si="4"/>
        <v>89</v>
      </c>
      <c r="W251" s="26" t="e">
        <f>VLOOKUP(B251,REQUISICIÓN!$C$9:$G$509,5,0)</f>
        <v>#N/A</v>
      </c>
      <c r="X251" s="150"/>
      <c r="Y251" s="150"/>
      <c r="Z251" s="156"/>
      <c r="AA251" s="150"/>
      <c r="AB251" s="156"/>
    </row>
    <row r="252" spans="2:28" x14ac:dyDescent="0.3">
      <c r="B252" s="2">
        <v>215</v>
      </c>
      <c r="C252" s="68"/>
      <c r="D252" s="71">
        <v>7506022313157</v>
      </c>
      <c r="E252" s="96" t="s">
        <v>367</v>
      </c>
      <c r="F252" s="70" t="e">
        <f>VLOOKUP(B252,REQUISICIÓN!$C$9:$E$125,3,0)</f>
        <v>#N/A</v>
      </c>
      <c r="G252" s="70" t="s">
        <v>4</v>
      </c>
      <c r="H252" s="159"/>
      <c r="I252" s="159"/>
      <c r="J252" s="160"/>
      <c r="K252" s="15">
        <v>55</v>
      </c>
      <c r="L252" s="15"/>
      <c r="M252" s="160"/>
      <c r="N252" s="160"/>
      <c r="O252" s="160"/>
      <c r="P252" s="160"/>
      <c r="Q252" s="159"/>
      <c r="R252" s="159"/>
      <c r="S252" s="159"/>
      <c r="T252" s="159"/>
      <c r="U252" s="159"/>
      <c r="V252" s="16">
        <f t="shared" si="4"/>
        <v>55</v>
      </c>
      <c r="W252" s="26" t="e">
        <f>VLOOKUP(B252,REQUISICIÓN!$C$9:$G$509,5,0)</f>
        <v>#N/A</v>
      </c>
      <c r="X252" s="2"/>
      <c r="Y252" s="2"/>
      <c r="Z252" s="25"/>
      <c r="AA252" s="2"/>
      <c r="AB252" s="25"/>
    </row>
    <row r="254" spans="2:28" x14ac:dyDescent="0.3">
      <c r="I254" s="99">
        <v>0.12</v>
      </c>
      <c r="J254" s="99">
        <v>0.11</v>
      </c>
      <c r="K254" s="99"/>
      <c r="L254" s="99"/>
      <c r="O254" s="99">
        <v>0.06</v>
      </c>
    </row>
  </sheetData>
  <autoFilter ref="B7:AB252" xr:uid="{1D31231B-2594-4636-88DA-8117CEDDC133}">
    <filterColumn colId="9">
      <customFilters>
        <customFilter operator="notEqual" val=" "/>
      </customFilters>
    </filterColumn>
  </autoFilter>
  <sortState xmlns:xlrd2="http://schemas.microsoft.com/office/spreadsheetml/2017/richdata2" ref="B8:AB249">
    <sortCondition ref="E8:E249"/>
  </sortState>
  <mergeCells count="1">
    <mergeCell ref="B1:AB6"/>
  </mergeCells>
  <phoneticPr fontId="7" type="noConversion"/>
  <conditionalFormatting sqref="B1:B1048576">
    <cfRule type="duplicateValues" dxfId="32" priority="16"/>
  </conditionalFormatting>
  <conditionalFormatting sqref="B184:B251">
    <cfRule type="duplicateValues" dxfId="31" priority="33"/>
    <cfRule type="duplicateValues" dxfId="30" priority="34"/>
  </conditionalFormatting>
  <conditionalFormatting sqref="C243 C102:C132 C205:C239 C134:C203 C241 C245:C1048576 C7:C99">
    <cfRule type="duplicateValues" dxfId="29" priority="20"/>
  </conditionalFormatting>
  <conditionalFormatting sqref="D19">
    <cfRule type="duplicateValues" dxfId="28" priority="37"/>
  </conditionalFormatting>
  <conditionalFormatting sqref="D52">
    <cfRule type="duplicateValues" dxfId="27" priority="36"/>
  </conditionalFormatting>
  <conditionalFormatting sqref="H11:I15">
    <cfRule type="cellIs" dxfId="26" priority="40" operator="equal">
      <formula>$V$11</formula>
    </cfRule>
  </conditionalFormatting>
  <conditionalFormatting sqref="H103:I103 H104:L104">
    <cfRule type="cellIs" dxfId="25" priority="35" operator="equal">
      <formula>$V$103</formula>
    </cfRule>
  </conditionalFormatting>
  <conditionalFormatting sqref="H15:L15">
    <cfRule type="cellIs" dxfId="24" priority="233" operator="equal">
      <formula>$V$15</formula>
    </cfRule>
  </conditionalFormatting>
  <conditionalFormatting sqref="H16:L16 H19:L19 J20:L20 H21:I21 M21:N21 H23:I35 J25:L30 J32:L33 J35:U35 Q37 H38:L38 H40:I42 J41:L41 Q41 H43:L43 H45:L45 H47:L50 H52:L52 H54:L54 H56:L56 H59:I59 H62:L62 H65:I65 J67:L69 H67:I70 H73:I73 H75:I77 P79 H79:L83 P81:P82 H85:L85 H87:L87 H100:I104 J102:L102 J104:L104 H106:L106 M109:N109 H110:I111 J113:L114 H113:I115 J117:L119 H117:I121 H125:L126 H131:I138 J133:L133 H140:L140 H141:I141 H144:I144 H145:L146 S145:S146 H149:I149 O149 J149:L151 S150 M152:N152 T153 H154:I154 J154:L157 H156:I171 M160:U171 J160:L185 O160:O185 Q160:Q235 H172:U235 H239:U248 H91:L95 J99:L100">
    <cfRule type="cellIs" dxfId="23" priority="43" operator="equal">
      <formula>$V16</formula>
    </cfRule>
  </conditionalFormatting>
  <conditionalFormatting sqref="H8:U8">
    <cfRule type="cellIs" dxfId="22" priority="570" operator="equal">
      <formula>$V$8</formula>
    </cfRule>
  </conditionalFormatting>
  <conditionalFormatting sqref="H9:U9">
    <cfRule type="cellIs" dxfId="21" priority="41" operator="equal">
      <formula>$V$9</formula>
    </cfRule>
  </conditionalFormatting>
  <conditionalFormatting sqref="H31:U31">
    <cfRule type="cellIs" dxfId="20" priority="9" operator="equal">
      <formula>$V$31</formula>
    </cfRule>
  </conditionalFormatting>
  <conditionalFormatting sqref="H83:U83">
    <cfRule type="cellIs" dxfId="19" priority="237" operator="equal">
      <formula>$V$83</formula>
    </cfRule>
  </conditionalFormatting>
  <conditionalFormatting sqref="H118:U119">
    <cfRule type="cellIs" dxfId="18" priority="563" operator="equal">
      <formula>$V$118</formula>
    </cfRule>
  </conditionalFormatting>
  <conditionalFormatting sqref="H130:U130">
    <cfRule type="cellIs" dxfId="17" priority="565" operator="equal">
      <formula>$V$130</formula>
    </cfRule>
  </conditionalFormatting>
  <conditionalFormatting sqref="H134:U134">
    <cfRule type="cellIs" dxfId="16" priority="8" operator="equal">
      <formula>$V$134</formula>
    </cfRule>
  </conditionalFormatting>
  <conditionalFormatting sqref="H141:U141">
    <cfRule type="cellIs" dxfId="15" priority="2" operator="equal">
      <formula>$V$141</formula>
    </cfRule>
    <cfRule type="cellIs" dxfId="14" priority="7" operator="equal">
      <formula>$V$134</formula>
    </cfRule>
  </conditionalFormatting>
  <conditionalFormatting sqref="I250:U251">
    <cfRule type="cellIs" dxfId="13" priority="12" operator="equal">
      <formula>$V$250</formula>
    </cfRule>
  </conditionalFormatting>
  <conditionalFormatting sqref="J171:U171">
    <cfRule type="cellIs" dxfId="12" priority="568" operator="equal">
      <formula>$V$171</formula>
    </cfRule>
  </conditionalFormatting>
  <conditionalFormatting sqref="H18:U18">
    <cfRule type="cellIs" dxfId="11" priority="6" operator="equal">
      <formula>$V$18</formula>
    </cfRule>
  </conditionalFormatting>
  <conditionalFormatting sqref="H77:U77">
    <cfRule type="cellIs" dxfId="10" priority="5" operator="equal">
      <formula>$V$77</formula>
    </cfRule>
  </conditionalFormatting>
  <conditionalFormatting sqref="B8:B182">
    <cfRule type="duplicateValues" dxfId="9" priority="574"/>
  </conditionalFormatting>
  <conditionalFormatting sqref="B8:B251">
    <cfRule type="duplicateValues" dxfId="8" priority="576"/>
  </conditionalFormatting>
  <conditionalFormatting sqref="H124:U124">
    <cfRule type="cellIs" dxfId="7" priority="4" operator="equal">
      <formula>$V$124</formula>
    </cfRule>
  </conditionalFormatting>
  <conditionalFormatting sqref="H119:U119">
    <cfRule type="cellIs" dxfId="6" priority="3" operator="equal">
      <formula>$V$119</formula>
    </cfRule>
  </conditionalFormatting>
  <conditionalFormatting sqref="K252:L252">
    <cfRule type="cellIs" dxfId="5" priority="1" operator="equal">
      <formula>$V252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FDA1-018C-4B7B-9B97-5D1FC3E34FF2}">
  <dimension ref="A1:K47"/>
  <sheetViews>
    <sheetView topLeftCell="A5" zoomScale="85" zoomScaleNormal="85" workbookViewId="0">
      <selection activeCell="F20" sqref="F20"/>
    </sheetView>
  </sheetViews>
  <sheetFormatPr baseColWidth="10" defaultColWidth="8.6640625" defaultRowHeight="14.4" x14ac:dyDescent="0.3"/>
  <cols>
    <col min="1" max="1" width="19.5546875" style="3" customWidth="1"/>
    <col min="2" max="2" width="17.88671875" customWidth="1"/>
    <col min="3" max="3" width="24.6640625" style="3" customWidth="1"/>
    <col min="4" max="4" width="78.6640625" style="24" customWidth="1"/>
    <col min="5" max="5" width="10.6640625" customWidth="1"/>
    <col min="6" max="6" width="10" style="3" customWidth="1"/>
    <col min="7" max="7" width="14.109375" style="3" customWidth="1"/>
    <col min="8" max="8" width="43.109375" customWidth="1"/>
    <col min="9" max="9" width="13.109375" hidden="1" customWidth="1"/>
    <col min="10" max="10" width="11.44140625" hidden="1" customWidth="1"/>
    <col min="11" max="11" width="17.6640625" hidden="1" customWidth="1"/>
  </cols>
  <sheetData>
    <row r="1" spans="1:11" ht="26.25" customHeight="1" x14ac:dyDescent="0.3">
      <c r="A1" s="134"/>
      <c r="B1" s="138"/>
      <c r="C1" s="142" t="s">
        <v>84</v>
      </c>
      <c r="D1" s="143"/>
      <c r="E1" s="143"/>
      <c r="F1" s="143"/>
      <c r="G1" s="143"/>
      <c r="H1" s="143"/>
      <c r="I1" s="31"/>
      <c r="J1" s="31"/>
      <c r="K1" s="32"/>
    </row>
    <row r="2" spans="1:11" ht="102" customHeight="1" x14ac:dyDescent="0.3">
      <c r="A2" s="139"/>
      <c r="B2" s="140"/>
      <c r="C2" s="144"/>
      <c r="D2" s="145"/>
      <c r="E2" s="145"/>
      <c r="F2" s="145"/>
      <c r="G2" s="145"/>
      <c r="H2" s="145"/>
      <c r="I2" s="33"/>
      <c r="J2" s="33"/>
      <c r="K2" s="34"/>
    </row>
    <row r="3" spans="1:11" ht="31.5" customHeight="1" x14ac:dyDescent="0.3">
      <c r="A3" s="49"/>
      <c r="B3" s="50"/>
      <c r="C3" s="50"/>
      <c r="D3" s="50"/>
      <c r="E3" s="50"/>
      <c r="F3" s="50"/>
      <c r="G3" s="50"/>
      <c r="H3" s="51"/>
      <c r="I3" s="35"/>
      <c r="J3" s="35"/>
      <c r="K3" s="36"/>
    </row>
    <row r="4" spans="1:11" ht="27" customHeight="1" x14ac:dyDescent="0.3">
      <c r="A4" s="48" t="s">
        <v>32</v>
      </c>
      <c r="B4" s="141"/>
      <c r="C4" s="141"/>
      <c r="D4" s="141"/>
      <c r="E4" s="141"/>
      <c r="F4" s="141"/>
      <c r="G4" s="42" t="s">
        <v>33</v>
      </c>
      <c r="H4" s="88">
        <v>46064</v>
      </c>
      <c r="I4" s="37"/>
      <c r="J4" s="37"/>
      <c r="K4" s="38"/>
    </row>
    <row r="5" spans="1:11" ht="19.5" customHeight="1" x14ac:dyDescent="0.3">
      <c r="A5" s="48" t="s">
        <v>34</v>
      </c>
      <c r="B5" s="141"/>
      <c r="C5" s="141"/>
      <c r="D5" s="141"/>
      <c r="E5" s="141"/>
      <c r="F5" s="141"/>
      <c r="G5" s="43" t="s">
        <v>35</v>
      </c>
      <c r="H5" s="2" t="s">
        <v>312</v>
      </c>
      <c r="I5" s="25"/>
      <c r="J5" s="25"/>
      <c r="K5" s="39"/>
    </row>
    <row r="6" spans="1:11" ht="19.5" customHeight="1" x14ac:dyDescent="0.3">
      <c r="A6" s="48" t="s">
        <v>36</v>
      </c>
      <c r="B6" s="141"/>
      <c r="C6" s="141"/>
      <c r="D6" s="141"/>
      <c r="E6" s="141"/>
      <c r="F6" s="141"/>
      <c r="G6" s="43" t="s">
        <v>37</v>
      </c>
      <c r="H6" s="52">
        <v>41</v>
      </c>
      <c r="I6" s="40"/>
      <c r="J6" s="40"/>
      <c r="K6" s="41"/>
    </row>
    <row r="7" spans="1:11" ht="30.75" customHeight="1" x14ac:dyDescent="0.3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8"/>
    </row>
    <row r="8" spans="1:11" ht="20.25" customHeight="1" x14ac:dyDescent="0.3">
      <c r="A8" s="44" t="s">
        <v>38</v>
      </c>
      <c r="B8" s="5" t="s">
        <v>1</v>
      </c>
      <c r="C8" s="5" t="s">
        <v>0</v>
      </c>
      <c r="D8" s="5" t="s">
        <v>83</v>
      </c>
      <c r="E8" s="5" t="s">
        <v>2</v>
      </c>
      <c r="F8" s="53" t="s">
        <v>81</v>
      </c>
      <c r="G8" s="7" t="s">
        <v>82</v>
      </c>
      <c r="H8" s="105" t="s">
        <v>39</v>
      </c>
      <c r="I8" s="106"/>
      <c r="J8" s="106"/>
      <c r="K8" s="107"/>
    </row>
    <row r="9" spans="1:11" ht="20.25" customHeight="1" x14ac:dyDescent="0.3">
      <c r="A9" s="5">
        <v>1</v>
      </c>
      <c r="B9" s="25">
        <v>0</v>
      </c>
      <c r="C9" s="2">
        <v>95</v>
      </c>
      <c r="D9" s="89" t="s">
        <v>326</v>
      </c>
      <c r="E9" s="5">
        <v>1</v>
      </c>
      <c r="F9" s="53" t="s">
        <v>327</v>
      </c>
      <c r="G9" s="5">
        <v>41</v>
      </c>
      <c r="H9" s="5"/>
      <c r="I9" s="30"/>
      <c r="J9" s="30"/>
      <c r="K9" s="56"/>
    </row>
    <row r="10" spans="1:11" ht="20.25" customHeight="1" x14ac:dyDescent="0.3">
      <c r="A10" s="5">
        <v>2</v>
      </c>
      <c r="B10" s="25">
        <v>0</v>
      </c>
      <c r="C10" s="2">
        <v>36</v>
      </c>
      <c r="D10" s="89" t="s">
        <v>328</v>
      </c>
      <c r="E10" s="5">
        <v>50</v>
      </c>
      <c r="F10" s="53" t="s">
        <v>315</v>
      </c>
      <c r="G10" s="5">
        <v>41</v>
      </c>
      <c r="H10" s="5"/>
      <c r="I10" s="30"/>
      <c r="J10" s="30"/>
      <c r="K10" s="56"/>
    </row>
    <row r="11" spans="1:11" ht="20.25" customHeight="1" x14ac:dyDescent="0.3">
      <c r="A11" s="5">
        <v>3</v>
      </c>
      <c r="B11" s="25">
        <v>0</v>
      </c>
      <c r="C11" s="2">
        <v>133</v>
      </c>
      <c r="D11" s="89" t="s">
        <v>329</v>
      </c>
      <c r="E11" s="5">
        <v>2</v>
      </c>
      <c r="F11" s="53" t="s">
        <v>330</v>
      </c>
      <c r="G11" s="5">
        <v>41</v>
      </c>
      <c r="H11" s="5"/>
      <c r="I11" s="30"/>
      <c r="J11" s="30"/>
      <c r="K11" s="56"/>
    </row>
    <row r="12" spans="1:11" ht="20.25" customHeight="1" x14ac:dyDescent="0.3">
      <c r="A12" s="5">
        <v>4</v>
      </c>
      <c r="B12" s="25">
        <v>0</v>
      </c>
      <c r="C12" s="2">
        <v>61</v>
      </c>
      <c r="D12" s="89" t="s">
        <v>331</v>
      </c>
      <c r="E12" s="5">
        <v>1</v>
      </c>
      <c r="F12" s="53" t="s">
        <v>311</v>
      </c>
      <c r="G12" s="5">
        <v>41</v>
      </c>
      <c r="H12" s="5"/>
      <c r="I12" s="30"/>
      <c r="J12" s="30"/>
      <c r="K12" s="56"/>
    </row>
    <row r="13" spans="1:11" ht="20.25" customHeight="1" x14ac:dyDescent="0.3">
      <c r="A13" s="5">
        <v>5</v>
      </c>
      <c r="B13" s="25">
        <v>0</v>
      </c>
      <c r="C13" s="2">
        <v>66</v>
      </c>
      <c r="D13" s="89" t="s">
        <v>310</v>
      </c>
      <c r="E13" s="5">
        <v>1</v>
      </c>
      <c r="F13" s="53" t="s">
        <v>311</v>
      </c>
      <c r="G13" s="5">
        <v>41</v>
      </c>
      <c r="H13" s="5"/>
      <c r="I13" s="94"/>
      <c r="J13" s="94"/>
      <c r="K13" s="94"/>
    </row>
    <row r="14" spans="1:11" ht="20.25" customHeight="1" x14ac:dyDescent="0.3">
      <c r="A14" s="5">
        <v>6</v>
      </c>
      <c r="B14" s="25">
        <v>0</v>
      </c>
      <c r="C14" s="2">
        <v>18</v>
      </c>
      <c r="D14" s="89" t="s">
        <v>332</v>
      </c>
      <c r="E14" s="5">
        <v>1</v>
      </c>
      <c r="F14" s="53" t="s">
        <v>311</v>
      </c>
      <c r="G14" s="5">
        <v>41</v>
      </c>
      <c r="H14" s="5"/>
      <c r="I14" s="94"/>
      <c r="J14" s="94"/>
      <c r="K14" s="94"/>
    </row>
    <row r="15" spans="1:11" ht="20.25" customHeight="1" x14ac:dyDescent="0.3">
      <c r="A15" s="5">
        <v>7</v>
      </c>
      <c r="B15" s="25">
        <v>0</v>
      </c>
      <c r="C15" s="2">
        <v>17</v>
      </c>
      <c r="D15" s="89" t="s">
        <v>333</v>
      </c>
      <c r="E15" s="5">
        <v>1</v>
      </c>
      <c r="F15" s="53" t="s">
        <v>311</v>
      </c>
      <c r="G15" s="5">
        <v>41</v>
      </c>
      <c r="H15" s="5"/>
      <c r="I15" s="94"/>
      <c r="J15" s="94"/>
      <c r="K15" s="94"/>
    </row>
    <row r="16" spans="1:11" ht="20.25" customHeight="1" x14ac:dyDescent="0.3">
      <c r="A16" s="5">
        <v>8</v>
      </c>
      <c r="B16" s="25">
        <v>0</v>
      </c>
      <c r="C16" s="2">
        <v>40</v>
      </c>
      <c r="D16" s="89" t="s">
        <v>334</v>
      </c>
      <c r="E16" s="5">
        <v>1</v>
      </c>
      <c r="F16" s="53" t="s">
        <v>311</v>
      </c>
      <c r="G16" s="5">
        <v>41</v>
      </c>
      <c r="H16" s="5"/>
      <c r="I16" s="94"/>
      <c r="J16" s="94"/>
      <c r="K16" s="94"/>
    </row>
    <row r="17" spans="1:11" ht="20.25" customHeight="1" x14ac:dyDescent="0.3">
      <c r="A17" s="5">
        <v>9</v>
      </c>
      <c r="B17" s="25">
        <v>0</v>
      </c>
      <c r="C17" s="2">
        <v>79</v>
      </c>
      <c r="D17" s="89" t="s">
        <v>335</v>
      </c>
      <c r="E17" s="5">
        <v>1</v>
      </c>
      <c r="F17" s="53" t="s">
        <v>311</v>
      </c>
      <c r="G17" s="5">
        <v>41</v>
      </c>
      <c r="H17" s="5"/>
      <c r="I17" s="94"/>
      <c r="J17" s="94"/>
      <c r="K17" s="94"/>
    </row>
    <row r="18" spans="1:11" ht="20.25" customHeight="1" x14ac:dyDescent="0.3">
      <c r="A18" s="5">
        <v>10</v>
      </c>
      <c r="B18" s="25">
        <v>0</v>
      </c>
      <c r="C18" s="2">
        <v>87</v>
      </c>
      <c r="D18" s="89" t="s">
        <v>336</v>
      </c>
      <c r="E18" s="5">
        <v>3</v>
      </c>
      <c r="F18" s="53" t="s">
        <v>330</v>
      </c>
      <c r="G18" s="5">
        <v>41</v>
      </c>
      <c r="H18" s="5"/>
      <c r="I18" s="94"/>
      <c r="J18" s="94"/>
      <c r="K18" s="94"/>
    </row>
    <row r="19" spans="1:11" ht="20.25" customHeight="1" x14ac:dyDescent="0.3">
      <c r="A19" s="5">
        <v>11</v>
      </c>
      <c r="B19" s="25">
        <v>0</v>
      </c>
      <c r="C19" s="2">
        <v>37</v>
      </c>
      <c r="D19" s="89" t="s">
        <v>337</v>
      </c>
      <c r="E19" s="5">
        <v>50</v>
      </c>
      <c r="F19" s="53" t="s">
        <v>315</v>
      </c>
      <c r="G19" s="5">
        <v>41</v>
      </c>
      <c r="H19" s="5"/>
      <c r="I19" s="94"/>
      <c r="J19" s="94"/>
      <c r="K19" s="94"/>
    </row>
    <row r="20" spans="1:11" ht="20.25" customHeight="1" x14ac:dyDescent="0.3">
      <c r="A20" s="5">
        <v>12</v>
      </c>
      <c r="B20" s="25">
        <v>0</v>
      </c>
      <c r="C20" s="2">
        <v>84</v>
      </c>
      <c r="D20" s="89" t="s">
        <v>338</v>
      </c>
      <c r="E20" s="5">
        <v>2</v>
      </c>
      <c r="F20" s="53" t="s">
        <v>339</v>
      </c>
      <c r="G20" s="5">
        <v>41</v>
      </c>
      <c r="H20" s="5"/>
      <c r="I20" s="94"/>
      <c r="J20" s="94"/>
      <c r="K20" s="94"/>
    </row>
    <row r="21" spans="1:11" ht="20.25" customHeight="1" x14ac:dyDescent="0.3">
      <c r="A21" s="5">
        <v>13</v>
      </c>
      <c r="B21" s="25">
        <v>0</v>
      </c>
      <c r="C21" s="2">
        <v>214</v>
      </c>
      <c r="D21" s="89" t="s">
        <v>340</v>
      </c>
      <c r="E21" s="5">
        <v>2</v>
      </c>
      <c r="F21" s="53" t="s">
        <v>315</v>
      </c>
      <c r="G21" s="5">
        <v>41</v>
      </c>
      <c r="H21" s="5"/>
      <c r="I21" s="94"/>
      <c r="J21" s="94"/>
      <c r="K21" s="94"/>
    </row>
    <row r="22" spans="1:11" ht="20.25" customHeight="1" x14ac:dyDescent="0.3">
      <c r="A22" s="5">
        <v>14</v>
      </c>
      <c r="B22" s="25">
        <v>0</v>
      </c>
      <c r="C22" s="2">
        <v>148</v>
      </c>
      <c r="D22" s="89" t="s">
        <v>341</v>
      </c>
      <c r="E22" s="5">
        <v>1</v>
      </c>
      <c r="F22" s="53" t="s">
        <v>311</v>
      </c>
      <c r="G22" s="5">
        <v>41</v>
      </c>
      <c r="H22" s="5"/>
      <c r="I22" s="94"/>
      <c r="J22" s="94"/>
      <c r="K22" s="94"/>
    </row>
    <row r="23" spans="1:11" ht="20.25" customHeight="1" x14ac:dyDescent="0.3">
      <c r="A23" s="5">
        <v>15</v>
      </c>
      <c r="B23" s="25">
        <v>0</v>
      </c>
      <c r="C23" s="2">
        <v>39</v>
      </c>
      <c r="D23" s="89" t="s">
        <v>309</v>
      </c>
      <c r="E23" s="5">
        <v>3</v>
      </c>
      <c r="F23" s="53" t="s">
        <v>330</v>
      </c>
      <c r="G23" s="5">
        <v>41</v>
      </c>
      <c r="H23" s="5"/>
      <c r="I23" s="94"/>
      <c r="J23" s="94"/>
      <c r="K23" s="94"/>
    </row>
    <row r="24" spans="1:11" ht="20.25" customHeight="1" x14ac:dyDescent="0.3">
      <c r="A24" s="5">
        <v>16</v>
      </c>
      <c r="B24" s="25">
        <v>0</v>
      </c>
      <c r="C24" s="2">
        <v>30</v>
      </c>
      <c r="D24" s="89" t="s">
        <v>342</v>
      </c>
      <c r="E24" s="5">
        <v>3</v>
      </c>
      <c r="F24" s="53" t="s">
        <v>330</v>
      </c>
      <c r="G24" s="5">
        <v>41</v>
      </c>
      <c r="H24" s="5"/>
      <c r="I24" s="94"/>
      <c r="J24" s="94"/>
      <c r="K24" s="94"/>
    </row>
    <row r="25" spans="1:11" ht="20.25" customHeight="1" x14ac:dyDescent="0.3">
      <c r="A25" s="5">
        <v>17</v>
      </c>
      <c r="B25" s="25">
        <v>0</v>
      </c>
      <c r="C25" s="2">
        <v>224</v>
      </c>
      <c r="D25" s="89" t="s">
        <v>343</v>
      </c>
      <c r="E25" s="5">
        <v>1</v>
      </c>
      <c r="F25" s="53" t="s">
        <v>311</v>
      </c>
      <c r="G25" s="5">
        <v>41</v>
      </c>
      <c r="H25" s="5"/>
      <c r="I25" s="94"/>
      <c r="J25" s="94"/>
      <c r="K25" s="94"/>
    </row>
    <row r="26" spans="1:11" x14ac:dyDescent="0.3">
      <c r="A26" s="109"/>
      <c r="B26" s="110"/>
      <c r="C26" s="110"/>
      <c r="D26" s="110"/>
      <c r="E26" s="110"/>
      <c r="F26" s="110"/>
      <c r="G26" s="110"/>
      <c r="H26" s="110"/>
      <c r="I26" s="110"/>
      <c r="J26" s="110"/>
      <c r="K26" s="111"/>
    </row>
    <row r="27" spans="1:11" x14ac:dyDescent="0.3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4"/>
    </row>
    <row r="28" spans="1:11" x14ac:dyDescent="0.3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4"/>
    </row>
    <row r="29" spans="1:11" x14ac:dyDescent="0.3">
      <c r="A29" s="115"/>
      <c r="B29" s="116"/>
      <c r="C29" s="116"/>
      <c r="D29" s="116"/>
      <c r="E29" s="116"/>
      <c r="F29" s="116"/>
      <c r="G29" s="116"/>
      <c r="H29" s="116"/>
      <c r="I29" s="116"/>
      <c r="J29" s="116"/>
      <c r="K29" s="117"/>
    </row>
    <row r="30" spans="1:11" x14ac:dyDescent="0.3">
      <c r="A30" s="118" t="s">
        <v>40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20"/>
    </row>
    <row r="31" spans="1:11" x14ac:dyDescent="0.3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3"/>
    </row>
    <row r="32" spans="1:11" x14ac:dyDescent="0.3">
      <c r="A32" s="121"/>
      <c r="B32" s="122"/>
      <c r="C32" s="122"/>
      <c r="D32" s="122"/>
      <c r="E32" s="122"/>
      <c r="F32" s="122"/>
      <c r="G32" s="122"/>
      <c r="H32" s="122"/>
      <c r="I32" s="122"/>
      <c r="J32" s="122"/>
      <c r="K32" s="123"/>
    </row>
    <row r="33" spans="1:11" x14ac:dyDescent="0.3">
      <c r="A33" s="124" t="s">
        <v>41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6"/>
    </row>
    <row r="34" spans="1:11" x14ac:dyDescent="0.3">
      <c r="A34" s="124" t="s">
        <v>42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6"/>
    </row>
    <row r="35" spans="1:11" x14ac:dyDescent="0.3">
      <c r="A35" s="127" t="s">
        <v>43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9"/>
    </row>
    <row r="36" spans="1:11" x14ac:dyDescent="0.3">
      <c r="A36" s="130" t="s">
        <v>44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2"/>
    </row>
    <row r="37" spans="1:11" x14ac:dyDescent="0.3">
      <c r="A37" s="133"/>
      <c r="B37" s="134"/>
      <c r="C37" s="134"/>
      <c r="D37" s="134"/>
      <c r="E37" s="134"/>
      <c r="F37" s="134"/>
      <c r="G37" s="134"/>
      <c r="H37" s="134"/>
      <c r="I37" s="134"/>
      <c r="J37" s="134"/>
      <c r="K37" s="135"/>
    </row>
    <row r="38" spans="1:11" x14ac:dyDescent="0.3">
      <c r="A38" s="133"/>
      <c r="B38" s="134"/>
      <c r="C38" s="134"/>
      <c r="D38" s="134"/>
      <c r="E38" s="134"/>
      <c r="F38" s="134"/>
      <c r="G38" s="134"/>
      <c r="H38" s="134"/>
      <c r="I38" s="134"/>
      <c r="J38" s="134"/>
      <c r="K38" s="135"/>
    </row>
    <row r="39" spans="1:11" x14ac:dyDescent="0.3">
      <c r="A39" s="133"/>
      <c r="B39" s="134"/>
      <c r="C39" s="134"/>
      <c r="D39" s="134"/>
      <c r="E39" s="134"/>
      <c r="F39" s="134"/>
      <c r="G39" s="134"/>
      <c r="H39" s="134"/>
      <c r="I39" s="134"/>
      <c r="J39" s="134"/>
      <c r="K39" s="135"/>
    </row>
    <row r="40" spans="1:11" x14ac:dyDescent="0.3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5"/>
    </row>
    <row r="41" spans="1:11" x14ac:dyDescent="0.3">
      <c r="A41" s="136" t="s">
        <v>45</v>
      </c>
      <c r="B41" s="137"/>
      <c r="C41" s="137"/>
      <c r="D41" s="137"/>
      <c r="F41" s="137" t="s">
        <v>45</v>
      </c>
      <c r="G41" s="137"/>
      <c r="H41" s="137"/>
      <c r="I41" s="137"/>
      <c r="J41" s="137"/>
      <c r="K41" s="6"/>
    </row>
    <row r="42" spans="1:11" x14ac:dyDescent="0.3">
      <c r="A42" s="45"/>
      <c r="B42" s="108" t="s">
        <v>46</v>
      </c>
      <c r="C42" s="108"/>
      <c r="D42" s="108"/>
      <c r="F42" s="7"/>
      <c r="G42" s="7"/>
      <c r="H42" s="7"/>
      <c r="I42" s="7"/>
      <c r="J42" s="8"/>
      <c r="K42" s="6"/>
    </row>
    <row r="43" spans="1:11" x14ac:dyDescent="0.3">
      <c r="A43" s="46"/>
      <c r="K43" s="6"/>
    </row>
    <row r="44" spans="1:11" x14ac:dyDescent="0.3">
      <c r="A44" s="46"/>
      <c r="K44" s="6"/>
    </row>
    <row r="45" spans="1:11" x14ac:dyDescent="0.3">
      <c r="A45" s="46"/>
      <c r="H45" s="9"/>
      <c r="I45" s="9"/>
      <c r="K45" s="6"/>
    </row>
    <row r="46" spans="1:11" x14ac:dyDescent="0.3">
      <c r="A46" s="46"/>
      <c r="H46" s="9"/>
      <c r="I46" s="9"/>
      <c r="K46" s="6"/>
    </row>
    <row r="47" spans="1:11" ht="15" thickBot="1" x14ac:dyDescent="0.35">
      <c r="A47" s="47"/>
      <c r="B47" s="10"/>
      <c r="C47" s="11"/>
      <c r="D47" s="29"/>
      <c r="E47" s="10"/>
      <c r="F47" s="11"/>
      <c r="G47" s="11"/>
      <c r="H47" s="12"/>
      <c r="I47" s="12"/>
      <c r="J47" s="10"/>
      <c r="K47" s="13"/>
    </row>
  </sheetData>
  <autoFilter ref="A8:K12" xr:uid="{26A2FDA1-018C-4B7B-9B97-5D1FC3E34FF2}">
    <filterColumn colId="7" showButton="0"/>
    <filterColumn colId="8" showButton="0"/>
    <filterColumn colId="9" showButton="0"/>
  </autoFilter>
  <mergeCells count="17">
    <mergeCell ref="A1:B2"/>
    <mergeCell ref="B4:F4"/>
    <mergeCell ref="C1:H2"/>
    <mergeCell ref="A7:K7"/>
    <mergeCell ref="B5:F5"/>
    <mergeCell ref="B6:F6"/>
    <mergeCell ref="H8:K8"/>
    <mergeCell ref="B42:D42"/>
    <mergeCell ref="A26:K29"/>
    <mergeCell ref="A30:K32"/>
    <mergeCell ref="A33:K33"/>
    <mergeCell ref="A34:K34"/>
    <mergeCell ref="A35:K35"/>
    <mergeCell ref="A36:K36"/>
    <mergeCell ref="A37:K40"/>
    <mergeCell ref="A41:D41"/>
    <mergeCell ref="F41:J41"/>
  </mergeCells>
  <conditionalFormatting sqref="C9:C25">
    <cfRule type="duplicateValues" dxfId="4" priority="228"/>
    <cfRule type="duplicateValues" dxfId="3" priority="229"/>
    <cfRule type="duplicateValues" dxfId="2" priority="230"/>
    <cfRule type="duplicateValues" dxfId="1" priority="231"/>
  </conditionalFormatting>
  <conditionalFormatting sqref="D9:D25">
    <cfRule type="duplicateValues" dxfId="0" priority="232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A4C4-1E3E-4DE1-992A-89F24505750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COMPARATIVO</vt:lpstr>
      <vt:lpstr>REQUISICIÓN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J. Herrera Carrillo</dc:creator>
  <cp:lastModifiedBy>Karla J. Herrera Carrillo</cp:lastModifiedBy>
  <cp:lastPrinted>2025-05-02T18:19:47Z</cp:lastPrinted>
  <dcterms:created xsi:type="dcterms:W3CDTF">2025-01-15T14:51:26Z</dcterms:created>
  <dcterms:modified xsi:type="dcterms:W3CDTF">2026-03-13T18:24:20Z</dcterms:modified>
</cp:coreProperties>
</file>